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大四上\人工智能设计课\mit\模型回归文档\数据\论文数量为Y\"/>
    </mc:Choice>
  </mc:AlternateContent>
  <bookViews>
    <workbookView windowWidth="24750" windowHeight="10480" activeTab="1"/>
  </bookViews>
  <sheets>
    <sheet name="六年" sheetId="1" r:id="rId1"/>
    <sheet name="15年" sheetId="2" r:id="rId2"/>
    <sheet name="16年" sheetId="3" r:id="rId3"/>
    <sheet name="17年" sheetId="4" r:id="rId4"/>
    <sheet name="23年" sheetId="5" r:id="rId5"/>
    <sheet name="24年" sheetId="6" r:id="rId6"/>
    <sheet name="25年" sheetId="7" r:id="rId7"/>
    <sheet name="18年前" sheetId="8" r:id="rId8"/>
    <sheet name="18年后" sheetId="9" r:id="rId9"/>
    <sheet name="Sheet1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<sst xmlns="http://schemas.openxmlformats.org/spreadsheetml/2006/main" count="1290" uniqueCount="139">
  <si>
    <t>楼栋名称</t>
  </si>
  <si>
    <t>楼栋号</t>
  </si>
  <si>
    <t>六年论文总数</t>
  </si>
  <si>
    <t>x1-接近中心性_WF</t>
  </si>
  <si>
    <t>x2-中介中心性_标准化</t>
  </si>
  <si>
    <t>x3-数量加权RS_N乘RS</t>
  </si>
  <si>
    <t>x4-传播新增覆盖</t>
  </si>
  <si>
    <t>皮尔斯实验楼</t>
  </si>
  <si>
    <t>01</t>
  </si>
  <si>
    <t>0.19888245033112584</t>
  </si>
  <si>
    <t>0.008736559139784945</t>
  </si>
  <si>
    <t>3.347222222222222</t>
  </si>
  <si>
    <t>西蒙斯楼</t>
  </si>
  <si>
    <t>02</t>
  </si>
  <si>
    <t>0.21920620437956204</t>
  </si>
  <si>
    <t>0.07190860215053764</t>
  </si>
  <si>
    <t>麦克劳林3号楼</t>
  </si>
  <si>
    <t>03</t>
  </si>
  <si>
    <t>0.24415650406504066</t>
  </si>
  <si>
    <t>0.134744623655914</t>
  </si>
  <si>
    <t>麦克劳林4号楼</t>
  </si>
  <si>
    <t>04</t>
  </si>
  <si>
    <t>0.11592741935483872</t>
  </si>
  <si>
    <t>普拉特楼</t>
  </si>
  <si>
    <t>05</t>
  </si>
  <si>
    <t>2.2666666666666666</t>
  </si>
  <si>
    <t>伊士曼实验楼</t>
  </si>
  <si>
    <t>06</t>
  </si>
  <si>
    <t>0.05443548387096774</t>
  </si>
  <si>
    <t>3.7781249999999997</t>
  </si>
  <si>
    <t>罗杰斯楼</t>
  </si>
  <si>
    <t>07</t>
  </si>
  <si>
    <t>0.09543010752688172</t>
  </si>
  <si>
    <t>8号楼</t>
  </si>
  <si>
    <t>08</t>
  </si>
  <si>
    <t>0.25236344537815125</t>
  </si>
  <si>
    <t>0.12231182795698924</t>
  </si>
  <si>
    <t>李氏楼</t>
  </si>
  <si>
    <t>09</t>
  </si>
  <si>
    <t>0.2806658878504673</t>
  </si>
  <si>
    <t>0.2691532258064516</t>
  </si>
  <si>
    <t>麦克劳林楼/大穹顶</t>
  </si>
  <si>
    <t>10</t>
  </si>
  <si>
    <t>0.27806712962962965</t>
  </si>
  <si>
    <t>0.21337365591397847</t>
  </si>
  <si>
    <t>4.422000000000001</t>
  </si>
  <si>
    <t>旧12号楼</t>
  </si>
  <si>
    <t>12</t>
  </si>
  <si>
    <t>0.3033459595959596</t>
  </si>
  <si>
    <t>0.2476478494623656</t>
  </si>
  <si>
    <t>范内瓦·布什楼</t>
  </si>
  <si>
    <t>13</t>
  </si>
  <si>
    <t>0.30960051546391754</t>
  </si>
  <si>
    <t>0.3249327956989247</t>
  </si>
  <si>
    <t>3.319444444444444</t>
  </si>
  <si>
    <t>海登纪念图书馆</t>
  </si>
  <si>
    <t>14</t>
  </si>
  <si>
    <t>0.17982784431137724</t>
  </si>
  <si>
    <t>1.3666666666666667</t>
  </si>
  <si>
    <t>多兰斯楼</t>
  </si>
  <si>
    <t>16</t>
  </si>
  <si>
    <t>0.29156553398058255</t>
  </si>
  <si>
    <t>0.32157258064516125</t>
  </si>
  <si>
    <t>6.352000000000001</t>
  </si>
  <si>
    <t>莱特兄弟风洞</t>
  </si>
  <si>
    <t>17</t>
  </si>
  <si>
    <t>0.1962826797385621</t>
  </si>
  <si>
    <t>德雷福斯楼</t>
  </si>
  <si>
    <t>18</t>
  </si>
  <si>
    <t>0.19128184713375795</t>
  </si>
  <si>
    <t>24号楼</t>
  </si>
  <si>
    <t>24</t>
  </si>
  <si>
    <t>2.1555555555555554</t>
  </si>
  <si>
    <t>康普顿实验楼</t>
  </si>
  <si>
    <t>26</t>
  </si>
  <si>
    <t>0.28601190476190474</t>
  </si>
  <si>
    <t>0.23454301075268816</t>
  </si>
  <si>
    <t>斯隆实验楼</t>
  </si>
  <si>
    <t>31</t>
  </si>
  <si>
    <t>0.16233108108108107</t>
  </si>
  <si>
    <t>2.1999999999999997</t>
  </si>
  <si>
    <t>斯塔塔中心</t>
  </si>
  <si>
    <t>32</t>
  </si>
  <si>
    <t>9.140885416666666</t>
  </si>
  <si>
    <t>古根海姆实验楼</t>
  </si>
  <si>
    <t>33</t>
  </si>
  <si>
    <t>0.20094086021505375</t>
  </si>
  <si>
    <t>EG&amp;G教育中心</t>
  </si>
  <si>
    <t>34</t>
  </si>
  <si>
    <t>0.1518817204301075</t>
  </si>
  <si>
    <t>斯隆35号实验楼</t>
  </si>
  <si>
    <t>35</t>
  </si>
  <si>
    <t>0.21450892857142856</t>
  </si>
  <si>
    <t>0.1213037634408602</t>
  </si>
  <si>
    <t>费尔柴尔德36号楼</t>
  </si>
  <si>
    <t>36</t>
  </si>
  <si>
    <t>0.24819214876033058</t>
  </si>
  <si>
    <t>0.1700268817204301</t>
  </si>
  <si>
    <t>麦克奈尔楼</t>
  </si>
  <si>
    <t>37</t>
  </si>
  <si>
    <t>0.11727150537634408</t>
  </si>
  <si>
    <t>费尔柴尔德38号楼</t>
  </si>
  <si>
    <t>38</t>
  </si>
  <si>
    <t>0.19757401315789475</t>
  </si>
  <si>
    <t>0.07862903225806452</t>
  </si>
  <si>
    <t>布朗楼</t>
  </si>
  <si>
    <t>39</t>
  </si>
  <si>
    <t>0.0678763440860215</t>
  </si>
  <si>
    <t>惠特克楼</t>
  </si>
  <si>
    <t>56</t>
  </si>
  <si>
    <t>0.23646653543307086</t>
  </si>
  <si>
    <t>0.17338709677419353</t>
  </si>
  <si>
    <t>朗道楼</t>
  </si>
  <si>
    <t>66</t>
  </si>
  <si>
    <t>0.06048387096774194</t>
  </si>
  <si>
    <t>科赫生物楼</t>
  </si>
  <si>
    <t>68</t>
  </si>
  <si>
    <t>科赫综合癌症研究所</t>
  </si>
  <si>
    <t>76</t>
  </si>
  <si>
    <t>5.355729166666666</t>
  </si>
  <si>
    <t>物理中心增建</t>
  </si>
  <si>
    <t>6C</t>
  </si>
  <si>
    <t>0.03998655913978495</t>
  </si>
  <si>
    <t>论文总数</t>
  </si>
  <si>
    <t>15年论文数</t>
  </si>
  <si>
    <t>16年论文数</t>
  </si>
  <si>
    <t>17年论文数</t>
  </si>
  <si>
    <t>23年论文数</t>
  </si>
  <si>
    <t>24年论文数</t>
  </si>
  <si>
    <t>25年论文数</t>
  </si>
  <si>
    <t>18年之前论文数</t>
  </si>
  <si>
    <t>18年之后论文数</t>
  </si>
  <si>
    <t>15年跨学科数</t>
  </si>
  <si>
    <t>16年跨学科数</t>
  </si>
  <si>
    <t>17年跨学科数</t>
  </si>
  <si>
    <t>23年跨学科数</t>
  </si>
  <si>
    <t>24年跨学科数</t>
  </si>
  <si>
    <t>25年跨学科数</t>
  </si>
  <si>
    <t>六年跨学科总数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</si>
</sst>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3" applyNumberFormat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0" fillId="3" borderId="4" xfId="0" applyNumberFormat="1" applyFont="1" applyFill="1" applyBorder="1" applyAlignment="1">
      <alignment horizontal="center" vertical="center"/>
    </xf>
    <xf numFmtId="49" fontId="0" fillId="3" borderId="5" xfId="0" applyNumberFormat="1" applyFont="1" applyFill="1" applyBorder="1" applyAlignment="1">
      <alignment horizontal="center" vertical="center"/>
    </xf>
    <xf numFmtId="176" fontId="0" fillId="3" borderId="5" xfId="0" applyNumberFormat="1" applyFont="1" applyFill="1" applyBorder="1" applyAlignment="1">
      <alignment horizontal="center" vertical="center"/>
    </xf>
    <xf numFmtId="176" fontId="0" fillId="3" borderId="6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5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49" fontId="0" fillId="0" borderId="7" xfId="0" applyNumberFormat="1" applyFont="1" applyFill="1" applyBorder="1" applyAlignment="1">
      <alignment horizontal="center" vertical="center"/>
    </xf>
    <xf numFmtId="49" fontId="0" fillId="0" borderId="8" xfId="0" applyNumberFormat="1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49" fontId="0" fillId="3" borderId="7" xfId="0" applyNumberFormat="1" applyFont="1" applyFill="1" applyBorder="1" applyAlignment="1">
      <alignment horizontal="center" vertical="center"/>
    </xf>
    <xf numFmtId="49" fontId="0" fillId="3" borderId="8" xfId="0" applyNumberFormat="1" applyFont="1" applyFill="1" applyBorder="1" applyAlignment="1">
      <alignment horizontal="center" vertical="center"/>
    </xf>
    <xf numFmtId="176" fontId="0" fillId="3" borderId="8" xfId="0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 quotePrefix="1">
      <alignment horizontal="center" vertical="center"/>
    </xf>
    <xf numFmtId="0" fontId="0" fillId="0" borderId="5" xfId="0" applyFont="1" applyFill="1" applyBorder="1" applyAlignment="1" quotePrefix="1">
      <alignment horizontal="center" vertical="center"/>
    </xf>
    <xf numFmtId="0" fontId="0" fillId="3" borderId="8" xfId="0" applyFont="1" applyFill="1" applyBorder="1" applyAlignment="1" quotePrefix="1">
      <alignment horizontal="center" vertical="center"/>
    </xf>
    <xf numFmtId="0" fontId="0" fillId="0" borderId="8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C1" sqref="C1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7.3636363636364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3" t="s">
        <v>6</v>
      </c>
    </row>
    <row r="2" spans="1:7">
      <c r="A2" s="4" t="s">
        <v>7</v>
      </c>
      <c r="B2" s="5" t="s">
        <v>8</v>
      </c>
      <c r="C2" s="6">
        <v>54</v>
      </c>
      <c r="D2" s="27" t="s">
        <v>9</v>
      </c>
      <c r="E2" s="27" t="s">
        <v>10</v>
      </c>
      <c r="F2" s="27" t="s">
        <v>11</v>
      </c>
      <c r="G2" s="17">
        <v>0.44395</v>
      </c>
    </row>
    <row r="3" spans="1:7">
      <c r="A3" s="8" t="s">
        <v>12</v>
      </c>
      <c r="B3" s="9" t="s">
        <v>13</v>
      </c>
      <c r="C3" s="10">
        <v>29</v>
      </c>
      <c r="D3" s="28" t="s">
        <v>14</v>
      </c>
      <c r="E3" s="28" t="s">
        <v>15</v>
      </c>
      <c r="F3" s="18">
        <v>0.8</v>
      </c>
      <c r="G3" s="19">
        <v>0.58985</v>
      </c>
    </row>
    <row r="4" spans="1:7">
      <c r="A4" s="4" t="s">
        <v>16</v>
      </c>
      <c r="B4" s="5" t="s">
        <v>17</v>
      </c>
      <c r="C4" s="6">
        <v>142</v>
      </c>
      <c r="D4" s="27" t="s">
        <v>18</v>
      </c>
      <c r="E4" s="27" t="s">
        <v>19</v>
      </c>
      <c r="F4" s="16">
        <v>3.2578125</v>
      </c>
      <c r="G4" s="17">
        <v>0.66025</v>
      </c>
    </row>
    <row r="5" spans="1:7">
      <c r="A5" s="8" t="s">
        <v>20</v>
      </c>
      <c r="B5" s="9" t="s">
        <v>21</v>
      </c>
      <c r="C5" s="10">
        <v>32</v>
      </c>
      <c r="D5" s="28" t="s">
        <v>18</v>
      </c>
      <c r="E5" s="28" t="s">
        <v>22</v>
      </c>
      <c r="F5" s="18">
        <v>3.108</v>
      </c>
      <c r="G5" s="19">
        <v>0.77745</v>
      </c>
    </row>
    <row r="6" spans="1:7">
      <c r="A6" s="4" t="s">
        <v>23</v>
      </c>
      <c r="B6" s="5" t="s">
        <v>24</v>
      </c>
      <c r="C6" s="6">
        <v>10</v>
      </c>
      <c r="D6" s="27" t="s">
        <v>9</v>
      </c>
      <c r="E6" s="27" t="s">
        <v>10</v>
      </c>
      <c r="F6" s="27" t="s">
        <v>25</v>
      </c>
      <c r="G6" s="17">
        <v>0.5054</v>
      </c>
    </row>
    <row r="7" spans="1:7">
      <c r="A7" s="8" t="s">
        <v>26</v>
      </c>
      <c r="B7" s="9" t="s">
        <v>27</v>
      </c>
      <c r="C7" s="10">
        <v>138</v>
      </c>
      <c r="D7" s="28" t="s">
        <v>14</v>
      </c>
      <c r="E7" s="28" t="s">
        <v>28</v>
      </c>
      <c r="F7" s="28" t="s">
        <v>29</v>
      </c>
      <c r="G7" s="19">
        <v>0.8726</v>
      </c>
    </row>
    <row r="8" spans="1:7">
      <c r="A8" s="4" t="s">
        <v>30</v>
      </c>
      <c r="B8" s="5" t="s">
        <v>31</v>
      </c>
      <c r="C8" s="6">
        <v>6</v>
      </c>
      <c r="D8" s="27" t="s">
        <v>18</v>
      </c>
      <c r="E8" s="27" t="s">
        <v>32</v>
      </c>
      <c r="F8" s="16">
        <v>3.125</v>
      </c>
      <c r="G8" s="17">
        <v>0.7251</v>
      </c>
    </row>
    <row r="9" spans="1:7">
      <c r="A9" s="8" t="s">
        <v>33</v>
      </c>
      <c r="B9" s="9" t="s">
        <v>34</v>
      </c>
      <c r="C9" s="10">
        <v>35</v>
      </c>
      <c r="D9" s="28" t="s">
        <v>35</v>
      </c>
      <c r="E9" s="28" t="s">
        <v>36</v>
      </c>
      <c r="F9" s="18">
        <v>1.4625</v>
      </c>
      <c r="G9" s="19">
        <v>0.91305</v>
      </c>
    </row>
    <row r="10" spans="1:7">
      <c r="A10" s="4" t="s">
        <v>37</v>
      </c>
      <c r="B10" s="5" t="s">
        <v>38</v>
      </c>
      <c r="C10" s="6">
        <v>8</v>
      </c>
      <c r="D10" s="27" t="s">
        <v>39</v>
      </c>
      <c r="E10" s="27" t="s">
        <v>40</v>
      </c>
      <c r="F10" s="16">
        <v>1</v>
      </c>
      <c r="G10" s="17">
        <v>0.493</v>
      </c>
    </row>
    <row r="11" spans="1:7">
      <c r="A11" s="8" t="s">
        <v>41</v>
      </c>
      <c r="B11" s="9" t="s">
        <v>42</v>
      </c>
      <c r="C11" s="10">
        <v>27</v>
      </c>
      <c r="D11" s="28" t="s">
        <v>43</v>
      </c>
      <c r="E11" s="28" t="s">
        <v>44</v>
      </c>
      <c r="F11" s="28" t="s">
        <v>45</v>
      </c>
      <c r="G11" s="19">
        <v>0.4913</v>
      </c>
    </row>
    <row r="12" spans="1:7">
      <c r="A12" s="8" t="s">
        <v>46</v>
      </c>
      <c r="B12" s="9" t="s">
        <v>47</v>
      </c>
      <c r="C12" s="10">
        <v>17</v>
      </c>
      <c r="D12" s="28" t="s">
        <v>48</v>
      </c>
      <c r="E12" s="28" t="s">
        <v>49</v>
      </c>
      <c r="F12" s="18">
        <v>5.975</v>
      </c>
      <c r="G12" s="19">
        <v>0.57025</v>
      </c>
    </row>
    <row r="13" spans="1:7">
      <c r="A13" s="4" t="s">
        <v>50</v>
      </c>
      <c r="B13" s="5" t="s">
        <v>51</v>
      </c>
      <c r="C13" s="6">
        <v>234</v>
      </c>
      <c r="D13" s="27" t="s">
        <v>52</v>
      </c>
      <c r="E13" s="27" t="s">
        <v>53</v>
      </c>
      <c r="F13" s="27" t="s">
        <v>54</v>
      </c>
      <c r="G13" s="17">
        <v>0.4151</v>
      </c>
    </row>
    <row r="14" spans="1:7">
      <c r="A14" s="8" t="s">
        <v>55</v>
      </c>
      <c r="B14" s="9" t="s">
        <v>56</v>
      </c>
      <c r="C14" s="10">
        <v>1</v>
      </c>
      <c r="D14" s="28" t="s">
        <v>57</v>
      </c>
      <c r="E14" s="18">
        <v>0</v>
      </c>
      <c r="F14" s="28" t="s">
        <v>58</v>
      </c>
      <c r="G14" s="19">
        <v>0.09775</v>
      </c>
    </row>
    <row r="15" spans="1:7">
      <c r="A15" s="4" t="s">
        <v>59</v>
      </c>
      <c r="B15" s="5" t="s">
        <v>60</v>
      </c>
      <c r="C15" s="6">
        <v>75</v>
      </c>
      <c r="D15" s="27" t="s">
        <v>61</v>
      </c>
      <c r="E15" s="27" t="s">
        <v>62</v>
      </c>
      <c r="F15" s="27" t="s">
        <v>63</v>
      </c>
      <c r="G15" s="17">
        <v>0.73275</v>
      </c>
    </row>
    <row r="16" spans="1:7">
      <c r="A16" s="8" t="s">
        <v>64</v>
      </c>
      <c r="B16" s="9" t="s">
        <v>65</v>
      </c>
      <c r="C16" s="10">
        <v>0</v>
      </c>
      <c r="D16" s="28" t="s">
        <v>66</v>
      </c>
      <c r="E16" s="18">
        <v>0</v>
      </c>
      <c r="F16" s="18">
        <v>0</v>
      </c>
      <c r="G16" s="19">
        <v>0.3909</v>
      </c>
    </row>
    <row r="17" spans="1:7">
      <c r="A17" s="4" t="s">
        <v>67</v>
      </c>
      <c r="B17" s="5" t="s">
        <v>68</v>
      </c>
      <c r="C17" s="6">
        <v>97</v>
      </c>
      <c r="D17" s="27" t="s">
        <v>69</v>
      </c>
      <c r="E17" s="16">
        <v>0</v>
      </c>
      <c r="F17" s="16">
        <v>0</v>
      </c>
      <c r="G17" s="17">
        <v>0.35075</v>
      </c>
    </row>
    <row r="18" spans="1:7">
      <c r="A18" s="8" t="s">
        <v>70</v>
      </c>
      <c r="B18" s="9" t="s">
        <v>71</v>
      </c>
      <c r="C18" s="10">
        <v>80</v>
      </c>
      <c r="D18" s="28" t="s">
        <v>57</v>
      </c>
      <c r="E18" s="18">
        <v>0</v>
      </c>
      <c r="F18" s="28" t="s">
        <v>72</v>
      </c>
      <c r="G18" s="19">
        <v>0.2522</v>
      </c>
    </row>
    <row r="19" spans="1:7">
      <c r="A19" s="4" t="s">
        <v>73</v>
      </c>
      <c r="B19" s="5" t="s">
        <v>74</v>
      </c>
      <c r="C19" s="6">
        <v>6</v>
      </c>
      <c r="D19" s="27" t="s">
        <v>75</v>
      </c>
      <c r="E19" s="27" t="s">
        <v>76</v>
      </c>
      <c r="F19" s="16">
        <v>3.046875</v>
      </c>
      <c r="G19" s="17">
        <v>0.6942</v>
      </c>
    </row>
    <row r="20" spans="1:7">
      <c r="A20" s="8" t="s">
        <v>77</v>
      </c>
      <c r="B20" s="9" t="s">
        <v>78</v>
      </c>
      <c r="C20" s="10">
        <v>20</v>
      </c>
      <c r="D20" s="28" t="s">
        <v>79</v>
      </c>
      <c r="E20" s="18">
        <v>0</v>
      </c>
      <c r="F20" s="28" t="s">
        <v>80</v>
      </c>
      <c r="G20" s="19">
        <v>0.2605</v>
      </c>
    </row>
    <row r="21" spans="1:7">
      <c r="A21" s="4" t="s">
        <v>81</v>
      </c>
      <c r="B21" s="5" t="s">
        <v>82</v>
      </c>
      <c r="C21" s="6">
        <v>86</v>
      </c>
      <c r="D21" s="16">
        <v>0.234619140625</v>
      </c>
      <c r="E21" s="16">
        <v>0</v>
      </c>
      <c r="F21" s="27" t="s">
        <v>83</v>
      </c>
      <c r="G21" s="17">
        <v>0.29945</v>
      </c>
    </row>
    <row r="22" spans="1:7">
      <c r="A22" s="8" t="s">
        <v>84</v>
      </c>
      <c r="B22" s="9" t="s">
        <v>85</v>
      </c>
      <c r="C22" s="10">
        <v>10</v>
      </c>
      <c r="D22" s="28" t="s">
        <v>18</v>
      </c>
      <c r="E22" s="28" t="s">
        <v>86</v>
      </c>
      <c r="F22" s="18">
        <v>1.875</v>
      </c>
      <c r="G22" s="19">
        <v>0.65835</v>
      </c>
    </row>
    <row r="23" spans="1:7">
      <c r="A23" s="4" t="s">
        <v>87</v>
      </c>
      <c r="B23" s="5" t="s">
        <v>88</v>
      </c>
      <c r="C23" s="6">
        <v>0</v>
      </c>
      <c r="D23" s="27" t="s">
        <v>14</v>
      </c>
      <c r="E23" s="27" t="s">
        <v>89</v>
      </c>
      <c r="F23" s="16">
        <v>0.75</v>
      </c>
      <c r="G23" s="17">
        <v>0.639</v>
      </c>
    </row>
    <row r="24" spans="1:7">
      <c r="A24" s="8" t="s">
        <v>90</v>
      </c>
      <c r="B24" s="9" t="s">
        <v>91</v>
      </c>
      <c r="C24" s="10">
        <v>7</v>
      </c>
      <c r="D24" s="28" t="s">
        <v>92</v>
      </c>
      <c r="E24" s="28" t="s">
        <v>93</v>
      </c>
      <c r="F24" s="18">
        <v>0.45</v>
      </c>
      <c r="G24" s="19">
        <v>0.5651</v>
      </c>
    </row>
    <row r="25" spans="1:7">
      <c r="A25" s="4" t="s">
        <v>94</v>
      </c>
      <c r="B25" s="5" t="s">
        <v>95</v>
      </c>
      <c r="C25" s="6">
        <v>120</v>
      </c>
      <c r="D25" s="27" t="s">
        <v>96</v>
      </c>
      <c r="E25" s="27" t="s">
        <v>97</v>
      </c>
      <c r="F25" s="27" t="s">
        <v>29</v>
      </c>
      <c r="G25" s="17">
        <v>0.52045</v>
      </c>
    </row>
    <row r="26" spans="1:7">
      <c r="A26" s="8" t="s">
        <v>98</v>
      </c>
      <c r="B26" s="9" t="s">
        <v>99</v>
      </c>
      <c r="C26" s="10">
        <v>150</v>
      </c>
      <c r="D26" s="18">
        <v>0.19375</v>
      </c>
      <c r="E26" s="28" t="s">
        <v>100</v>
      </c>
      <c r="F26" s="18">
        <v>1</v>
      </c>
      <c r="G26" s="19">
        <v>0.6133</v>
      </c>
    </row>
    <row r="27" spans="1:7">
      <c r="A27" s="4" t="s">
        <v>101</v>
      </c>
      <c r="B27" s="5" t="s">
        <v>102</v>
      </c>
      <c r="C27" s="6">
        <v>24</v>
      </c>
      <c r="D27" s="27" t="s">
        <v>103</v>
      </c>
      <c r="E27" s="27" t="s">
        <v>104</v>
      </c>
      <c r="F27" s="16">
        <v>1.36875</v>
      </c>
      <c r="G27" s="17">
        <v>0.6157</v>
      </c>
    </row>
    <row r="28" spans="1:7">
      <c r="A28" s="8" t="s">
        <v>105</v>
      </c>
      <c r="B28" s="9" t="s">
        <v>106</v>
      </c>
      <c r="C28" s="10">
        <v>24</v>
      </c>
      <c r="D28" s="28" t="s">
        <v>69</v>
      </c>
      <c r="E28" s="28" t="s">
        <v>107</v>
      </c>
      <c r="F28" s="18">
        <v>1.36875</v>
      </c>
      <c r="G28" s="19">
        <v>0.5257</v>
      </c>
    </row>
    <row r="29" spans="1:7">
      <c r="A29" s="4" t="s">
        <v>108</v>
      </c>
      <c r="B29" s="5" t="s">
        <v>109</v>
      </c>
      <c r="C29" s="6">
        <v>39</v>
      </c>
      <c r="D29" s="27" t="s">
        <v>110</v>
      </c>
      <c r="E29" s="27" t="s">
        <v>111</v>
      </c>
      <c r="F29" s="16">
        <v>1.5</v>
      </c>
      <c r="G29" s="17">
        <v>0.687</v>
      </c>
    </row>
    <row r="30" spans="1:7">
      <c r="A30" s="8" t="s">
        <v>112</v>
      </c>
      <c r="B30" s="9" t="s">
        <v>113</v>
      </c>
      <c r="C30" s="10">
        <v>150</v>
      </c>
      <c r="D30" s="18">
        <v>0.19375</v>
      </c>
      <c r="E30" s="28" t="s">
        <v>114</v>
      </c>
      <c r="F30" s="18">
        <v>1.36875</v>
      </c>
      <c r="G30" s="19">
        <v>0.358</v>
      </c>
    </row>
    <row r="31" spans="1:7">
      <c r="A31" s="4" t="s">
        <v>115</v>
      </c>
      <c r="B31" s="5" t="s">
        <v>116</v>
      </c>
      <c r="C31" s="6">
        <v>58</v>
      </c>
      <c r="D31" s="27" t="s">
        <v>79</v>
      </c>
      <c r="E31" s="16">
        <v>0</v>
      </c>
      <c r="F31" s="16">
        <v>0</v>
      </c>
      <c r="G31" s="17">
        <v>0.08585</v>
      </c>
    </row>
    <row r="32" spans="1:7">
      <c r="A32" s="8" t="s">
        <v>117</v>
      </c>
      <c r="B32" s="9" t="s">
        <v>118</v>
      </c>
      <c r="C32" s="10">
        <v>253</v>
      </c>
      <c r="D32" s="18">
        <v>0</v>
      </c>
      <c r="E32" s="18">
        <v>0</v>
      </c>
      <c r="F32" s="28" t="s">
        <v>119</v>
      </c>
      <c r="G32" s="19">
        <v>0</v>
      </c>
    </row>
    <row r="33" spans="1:7">
      <c r="A33" s="24" t="s">
        <v>120</v>
      </c>
      <c r="B33" s="25" t="s">
        <v>121</v>
      </c>
      <c r="C33" s="26">
        <v>0</v>
      </c>
      <c r="D33" s="13">
        <v>0.24025</v>
      </c>
      <c r="E33" s="29" t="s">
        <v>122</v>
      </c>
      <c r="F33" s="13">
        <v>0</v>
      </c>
      <c r="G33" s="14">
        <v>1.07165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selection activeCell="L11" sqref="L11"/>
    </sheetView>
  </sheetViews>
  <sheetFormatPr defaultColWidth="8.72727272727273" defaultRowHeight="14" outlineLevelCol="7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8">
      <c r="A1" s="1" t="s">
        <v>0</v>
      </c>
      <c r="B1" s="2" t="s">
        <v>1</v>
      </c>
      <c r="C1" s="15" t="s">
        <v>123</v>
      </c>
      <c r="D1" s="15" t="s">
        <v>3</v>
      </c>
      <c r="E1" s="15" t="s">
        <v>4</v>
      </c>
      <c r="F1" s="15" t="s">
        <v>5</v>
      </c>
      <c r="G1" s="3" t="s">
        <v>6</v>
      </c>
    </row>
    <row r="2" spans="1:8">
      <c r="A2" s="4" t="s">
        <v>7</v>
      </c>
      <c r="B2" s="5" t="s">
        <v>8</v>
      </c>
      <c r="C2" s="6">
        <v>99</v>
      </c>
      <c r="D2" s="27" t="s">
        <v>9</v>
      </c>
      <c r="E2" s="27" t="s">
        <v>10</v>
      </c>
      <c r="F2" s="27" t="s">
        <v>11</v>
      </c>
      <c r="G2" s="17">
        <v>0.44395</v>
      </c>
      <c r="H2" s="9"/>
    </row>
    <row r="3" spans="1:8">
      <c r="A3" s="8" t="s">
        <v>12</v>
      </c>
      <c r="B3" s="9" t="s">
        <v>13</v>
      </c>
      <c r="C3" s="10">
        <v>75</v>
      </c>
      <c r="D3" s="28" t="s">
        <v>14</v>
      </c>
      <c r="E3" s="28" t="s">
        <v>15</v>
      </c>
      <c r="F3" s="18">
        <v>0.8</v>
      </c>
      <c r="G3" s="19">
        <v>0.58985</v>
      </c>
      <c r="H3" s="9"/>
    </row>
    <row r="4" spans="1:8">
      <c r="A4" s="4" t="s">
        <v>16</v>
      </c>
      <c r="B4" s="5" t="s">
        <v>17</v>
      </c>
      <c r="C4" s="6">
        <v>194</v>
      </c>
      <c r="D4" s="27" t="s">
        <v>18</v>
      </c>
      <c r="E4" s="27" t="s">
        <v>19</v>
      </c>
      <c r="F4" s="16">
        <v>3.2578125</v>
      </c>
      <c r="G4" s="17">
        <v>0.66025</v>
      </c>
      <c r="H4" s="9"/>
    </row>
    <row r="5" spans="1:8">
      <c r="A5" s="8" t="s">
        <v>20</v>
      </c>
      <c r="B5" s="9" t="s">
        <v>21</v>
      </c>
      <c r="C5" s="10">
        <v>21</v>
      </c>
      <c r="D5" s="28" t="s">
        <v>18</v>
      </c>
      <c r="E5" s="28" t="s">
        <v>22</v>
      </c>
      <c r="F5" s="18">
        <v>3.108</v>
      </c>
      <c r="G5" s="19">
        <v>0.77745</v>
      </c>
      <c r="H5" s="9"/>
    </row>
    <row r="6" spans="1:8">
      <c r="A6" s="4" t="s">
        <v>23</v>
      </c>
      <c r="B6" s="5" t="s">
        <v>24</v>
      </c>
      <c r="C6" s="6">
        <v>34</v>
      </c>
      <c r="D6" s="27" t="s">
        <v>9</v>
      </c>
      <c r="E6" s="27" t="s">
        <v>10</v>
      </c>
      <c r="F6" s="27" t="s">
        <v>25</v>
      </c>
      <c r="G6" s="17">
        <v>0.5054</v>
      </c>
      <c r="H6" s="9"/>
    </row>
    <row r="7" spans="1:8">
      <c r="A7" s="8" t="s">
        <v>26</v>
      </c>
      <c r="B7" s="9" t="s">
        <v>27</v>
      </c>
      <c r="C7" s="10">
        <v>159</v>
      </c>
      <c r="D7" s="28" t="s">
        <v>14</v>
      </c>
      <c r="E7" s="28" t="s">
        <v>28</v>
      </c>
      <c r="F7" s="28" t="s">
        <v>29</v>
      </c>
      <c r="G7" s="19">
        <v>0.8726</v>
      </c>
      <c r="H7" s="9"/>
    </row>
    <row r="8" spans="1:8">
      <c r="A8" s="4" t="s">
        <v>30</v>
      </c>
      <c r="B8" s="5" t="s">
        <v>31</v>
      </c>
      <c r="C8" s="6">
        <v>5</v>
      </c>
      <c r="D8" s="27" t="s">
        <v>18</v>
      </c>
      <c r="E8" s="27" t="s">
        <v>32</v>
      </c>
      <c r="F8" s="16">
        <v>3.125</v>
      </c>
      <c r="G8" s="17">
        <v>0.7251</v>
      </c>
      <c r="H8" s="9"/>
    </row>
    <row r="9" spans="1:8">
      <c r="A9" s="8" t="s">
        <v>33</v>
      </c>
      <c r="B9" s="9" t="s">
        <v>34</v>
      </c>
      <c r="C9" s="10">
        <v>11</v>
      </c>
      <c r="D9" s="28" t="s">
        <v>35</v>
      </c>
      <c r="E9" s="28" t="s">
        <v>36</v>
      </c>
      <c r="F9" s="18">
        <v>1.4625</v>
      </c>
      <c r="G9" s="19">
        <v>0.91305</v>
      </c>
      <c r="H9" s="9"/>
    </row>
    <row r="10" spans="1:8">
      <c r="A10" s="4" t="s">
        <v>37</v>
      </c>
      <c r="B10" s="5" t="s">
        <v>38</v>
      </c>
      <c r="C10" s="6">
        <v>11</v>
      </c>
      <c r="D10" s="27" t="s">
        <v>39</v>
      </c>
      <c r="E10" s="27" t="s">
        <v>40</v>
      </c>
      <c r="F10" s="16">
        <v>1</v>
      </c>
      <c r="G10" s="17">
        <v>0.493</v>
      </c>
      <c r="H10" s="9"/>
    </row>
    <row r="11" spans="1:8">
      <c r="A11" s="8" t="s">
        <v>41</v>
      </c>
      <c r="B11" s="9" t="s">
        <v>42</v>
      </c>
      <c r="C11" s="10">
        <v>25</v>
      </c>
      <c r="D11" s="28" t="s">
        <v>43</v>
      </c>
      <c r="E11" s="28" t="s">
        <v>44</v>
      </c>
      <c r="F11" s="28" t="s">
        <v>45</v>
      </c>
      <c r="G11" s="19">
        <v>0.4913</v>
      </c>
      <c r="H11" s="9"/>
    </row>
    <row r="12" spans="1:8">
      <c r="A12" s="4" t="s">
        <v>46</v>
      </c>
      <c r="B12" s="5" t="s">
        <v>47</v>
      </c>
      <c r="C12" s="6">
        <v>3</v>
      </c>
      <c r="D12" s="27" t="s">
        <v>48</v>
      </c>
      <c r="E12" s="27" t="s">
        <v>49</v>
      </c>
      <c r="F12" s="16">
        <v>5.975</v>
      </c>
      <c r="G12" s="17">
        <v>0.57025</v>
      </c>
      <c r="H12" s="9"/>
    </row>
    <row r="13" spans="1:8">
      <c r="A13" s="8" t="s">
        <v>50</v>
      </c>
      <c r="B13" s="9" t="s">
        <v>51</v>
      </c>
      <c r="C13" s="10">
        <v>149</v>
      </c>
      <c r="D13" s="28" t="s">
        <v>52</v>
      </c>
      <c r="E13" s="28" t="s">
        <v>53</v>
      </c>
      <c r="F13" s="28" t="s">
        <v>54</v>
      </c>
      <c r="G13" s="19">
        <v>0.4151</v>
      </c>
      <c r="H13" s="9"/>
    </row>
    <row r="14" spans="1:8">
      <c r="A14" s="4" t="s">
        <v>55</v>
      </c>
      <c r="B14" s="5" t="s">
        <v>56</v>
      </c>
      <c r="C14" s="6">
        <v>3</v>
      </c>
      <c r="D14" s="27" t="s">
        <v>57</v>
      </c>
      <c r="E14" s="16">
        <v>0</v>
      </c>
      <c r="F14" s="27" t="s">
        <v>58</v>
      </c>
      <c r="G14" s="17">
        <v>0.09775</v>
      </c>
      <c r="H14" s="9"/>
    </row>
    <row r="15" spans="1:8">
      <c r="A15" s="8" t="s">
        <v>59</v>
      </c>
      <c r="B15" s="9" t="s">
        <v>60</v>
      </c>
      <c r="C15" s="10">
        <v>65</v>
      </c>
      <c r="D15" s="28" t="s">
        <v>61</v>
      </c>
      <c r="E15" s="28" t="s">
        <v>62</v>
      </c>
      <c r="F15" s="28" t="s">
        <v>63</v>
      </c>
      <c r="G15" s="19">
        <v>0.73275</v>
      </c>
      <c r="H15" s="9"/>
    </row>
    <row r="16" spans="1:8">
      <c r="A16" s="4" t="s">
        <v>64</v>
      </c>
      <c r="B16" s="5" t="s">
        <v>65</v>
      </c>
      <c r="C16" s="6">
        <v>0</v>
      </c>
      <c r="D16" s="27" t="s">
        <v>66</v>
      </c>
      <c r="E16" s="16">
        <v>0</v>
      </c>
      <c r="F16" s="16">
        <v>0</v>
      </c>
      <c r="G16" s="17">
        <v>0.3909</v>
      </c>
      <c r="H16" s="9"/>
    </row>
    <row r="17" spans="1:8">
      <c r="A17" s="8" t="s">
        <v>67</v>
      </c>
      <c r="B17" s="9" t="s">
        <v>68</v>
      </c>
      <c r="C17" s="10">
        <v>97</v>
      </c>
      <c r="D17" s="28" t="s">
        <v>69</v>
      </c>
      <c r="E17" s="18">
        <v>0</v>
      </c>
      <c r="F17" s="18">
        <v>0</v>
      </c>
      <c r="G17" s="19">
        <v>0.35075</v>
      </c>
      <c r="H17" s="9"/>
    </row>
    <row r="18" spans="1:8">
      <c r="A18" s="4" t="s">
        <v>70</v>
      </c>
      <c r="B18" s="5" t="s">
        <v>71</v>
      </c>
      <c r="C18" s="6">
        <v>65</v>
      </c>
      <c r="D18" s="27" t="s">
        <v>57</v>
      </c>
      <c r="E18" s="16">
        <v>0</v>
      </c>
      <c r="F18" s="27" t="s">
        <v>72</v>
      </c>
      <c r="G18" s="17">
        <v>0.2522</v>
      </c>
      <c r="H18" s="9"/>
    </row>
    <row r="19" spans="1:8">
      <c r="A19" s="8" t="s">
        <v>73</v>
      </c>
      <c r="B19" s="9" t="s">
        <v>74</v>
      </c>
      <c r="C19" s="10">
        <v>16</v>
      </c>
      <c r="D19" s="28" t="s">
        <v>75</v>
      </c>
      <c r="E19" s="28" t="s">
        <v>76</v>
      </c>
      <c r="F19" s="18">
        <v>3.046875</v>
      </c>
      <c r="G19" s="19">
        <v>0.6942</v>
      </c>
      <c r="H19" s="9"/>
    </row>
    <row r="20" spans="1:8">
      <c r="A20" s="4" t="s">
        <v>77</v>
      </c>
      <c r="B20" s="5" t="s">
        <v>78</v>
      </c>
      <c r="C20" s="6">
        <v>15</v>
      </c>
      <c r="D20" s="27" t="s">
        <v>79</v>
      </c>
      <c r="E20" s="16">
        <v>0</v>
      </c>
      <c r="F20" s="27" t="s">
        <v>80</v>
      </c>
      <c r="G20" s="17">
        <v>0.2605</v>
      </c>
      <c r="H20" s="9"/>
    </row>
    <row r="21" spans="1:8">
      <c r="A21" s="8" t="s">
        <v>81</v>
      </c>
      <c r="B21" s="9" t="s">
        <v>82</v>
      </c>
      <c r="C21" s="10">
        <v>120</v>
      </c>
      <c r="D21" s="18">
        <v>0.234619140625</v>
      </c>
      <c r="E21" s="18">
        <v>0</v>
      </c>
      <c r="F21" s="28" t="s">
        <v>83</v>
      </c>
      <c r="G21" s="19">
        <v>0.29945</v>
      </c>
      <c r="H21" s="9"/>
    </row>
    <row r="22" spans="1:8">
      <c r="A22" s="4" t="s">
        <v>84</v>
      </c>
      <c r="B22" s="5" t="s">
        <v>85</v>
      </c>
      <c r="C22" s="6">
        <v>33</v>
      </c>
      <c r="D22" s="27" t="s">
        <v>18</v>
      </c>
      <c r="E22" s="27" t="s">
        <v>86</v>
      </c>
      <c r="F22" s="16">
        <v>1.875</v>
      </c>
      <c r="G22" s="17">
        <v>0.65835</v>
      </c>
      <c r="H22" s="9"/>
    </row>
    <row r="23" spans="1:8">
      <c r="A23" s="8" t="s">
        <v>87</v>
      </c>
      <c r="B23" s="9" t="s">
        <v>88</v>
      </c>
      <c r="C23" s="10">
        <v>0</v>
      </c>
      <c r="D23" s="28" t="s">
        <v>14</v>
      </c>
      <c r="E23" s="28" t="s">
        <v>89</v>
      </c>
      <c r="F23" s="18">
        <v>0.75</v>
      </c>
      <c r="G23" s="19">
        <v>0.639</v>
      </c>
      <c r="H23" s="9"/>
    </row>
    <row r="24" spans="1:8">
      <c r="A24" s="4" t="s">
        <v>90</v>
      </c>
      <c r="B24" s="5" t="s">
        <v>91</v>
      </c>
      <c r="C24" s="6">
        <v>13</v>
      </c>
      <c r="D24" s="27" t="s">
        <v>92</v>
      </c>
      <c r="E24" s="27" t="s">
        <v>93</v>
      </c>
      <c r="F24" s="16">
        <v>0.45</v>
      </c>
      <c r="G24" s="17">
        <v>0.5651</v>
      </c>
      <c r="H24" s="9"/>
    </row>
    <row r="25" spans="1:8">
      <c r="A25" s="8" t="s">
        <v>94</v>
      </c>
      <c r="B25" s="9" t="s">
        <v>95</v>
      </c>
      <c r="C25" s="10">
        <v>121</v>
      </c>
      <c r="D25" s="28" t="s">
        <v>96</v>
      </c>
      <c r="E25" s="28" t="s">
        <v>97</v>
      </c>
      <c r="F25" s="28" t="s">
        <v>29</v>
      </c>
      <c r="G25" s="19">
        <v>0.52045</v>
      </c>
      <c r="H25" s="9"/>
    </row>
    <row r="26" spans="1:8">
      <c r="A26" s="4" t="s">
        <v>98</v>
      </c>
      <c r="B26" s="5" t="s">
        <v>99</v>
      </c>
      <c r="C26" s="6">
        <v>59</v>
      </c>
      <c r="D26" s="16">
        <v>0.19375</v>
      </c>
      <c r="E26" s="27" t="s">
        <v>100</v>
      </c>
      <c r="F26" s="16">
        <v>1</v>
      </c>
      <c r="G26" s="17">
        <v>0.6133</v>
      </c>
      <c r="H26" s="9"/>
    </row>
    <row r="27" spans="1:8">
      <c r="A27" s="8" t="s">
        <v>101</v>
      </c>
      <c r="B27" s="9" t="s">
        <v>102</v>
      </c>
      <c r="C27" s="10">
        <v>5</v>
      </c>
      <c r="D27" s="28" t="s">
        <v>103</v>
      </c>
      <c r="E27" s="28" t="s">
        <v>104</v>
      </c>
      <c r="F27" s="18">
        <v>1.36875</v>
      </c>
      <c r="G27" s="19">
        <v>0.6157</v>
      </c>
      <c r="H27" s="9"/>
    </row>
    <row r="28" spans="1:8">
      <c r="A28" s="4" t="s">
        <v>105</v>
      </c>
      <c r="B28" s="5" t="s">
        <v>106</v>
      </c>
      <c r="C28" s="6">
        <v>25</v>
      </c>
      <c r="D28" s="27" t="s">
        <v>69</v>
      </c>
      <c r="E28" s="27" t="s">
        <v>107</v>
      </c>
      <c r="F28" s="16">
        <v>1.36875</v>
      </c>
      <c r="G28" s="17">
        <v>0.5257</v>
      </c>
      <c r="H28" s="9"/>
    </row>
    <row r="29" spans="1:8">
      <c r="A29" s="8" t="s">
        <v>108</v>
      </c>
      <c r="B29" s="9" t="s">
        <v>109</v>
      </c>
      <c r="C29" s="10">
        <v>41</v>
      </c>
      <c r="D29" s="28" t="s">
        <v>110</v>
      </c>
      <c r="E29" s="28" t="s">
        <v>111</v>
      </c>
      <c r="F29" s="18">
        <v>1.5</v>
      </c>
      <c r="G29" s="19">
        <v>0.687</v>
      </c>
      <c r="H29" s="9"/>
    </row>
    <row r="30" spans="1:8">
      <c r="A30" s="4" t="s">
        <v>112</v>
      </c>
      <c r="B30" s="5" t="s">
        <v>113</v>
      </c>
      <c r="C30" s="6">
        <v>128</v>
      </c>
      <c r="D30" s="16">
        <v>0.19375</v>
      </c>
      <c r="E30" s="27" t="s">
        <v>114</v>
      </c>
      <c r="F30" s="16">
        <v>1.36875</v>
      </c>
      <c r="G30" s="17">
        <v>0.358</v>
      </c>
      <c r="H30" s="9"/>
    </row>
    <row r="31" spans="1:8">
      <c r="A31" s="8" t="s">
        <v>115</v>
      </c>
      <c r="B31" s="9" t="s">
        <v>116</v>
      </c>
      <c r="C31" s="10">
        <v>56</v>
      </c>
      <c r="D31" s="28" t="s">
        <v>79</v>
      </c>
      <c r="E31" s="18">
        <v>0</v>
      </c>
      <c r="F31" s="18">
        <v>0</v>
      </c>
      <c r="G31" s="19">
        <v>0.08585</v>
      </c>
      <c r="H31" s="9"/>
    </row>
    <row r="32" spans="1:8">
      <c r="A32" s="4" t="s">
        <v>117</v>
      </c>
      <c r="B32" s="5" t="s">
        <v>118</v>
      </c>
      <c r="C32" s="6">
        <v>145</v>
      </c>
      <c r="D32" s="16">
        <v>0</v>
      </c>
      <c r="E32" s="16">
        <v>0</v>
      </c>
      <c r="F32" s="27" t="s">
        <v>119</v>
      </c>
      <c r="G32" s="17">
        <v>0</v>
      </c>
      <c r="H32" s="9"/>
    </row>
    <row r="33" spans="1:8">
      <c r="A33" s="20" t="s">
        <v>120</v>
      </c>
      <c r="B33" s="21" t="s">
        <v>121</v>
      </c>
      <c r="C33" s="10">
        <v>0</v>
      </c>
      <c r="D33" s="22">
        <v>0.24025</v>
      </c>
      <c r="E33" s="30" t="s">
        <v>122</v>
      </c>
      <c r="F33" s="22">
        <v>0</v>
      </c>
      <c r="G33" s="23">
        <v>1.07165</v>
      </c>
      <c r="H33" s="9"/>
    </row>
    <row r="34" spans="1:8">
      <c r="H34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C2" sqref="C2:C33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15" t="s">
        <v>123</v>
      </c>
      <c r="D1" s="15" t="s">
        <v>3</v>
      </c>
      <c r="E1" s="15" t="s">
        <v>4</v>
      </c>
      <c r="F1" s="15" t="s">
        <v>5</v>
      </c>
      <c r="G1" s="3" t="s">
        <v>6</v>
      </c>
    </row>
    <row r="2" spans="1:7">
      <c r="A2" s="4" t="s">
        <v>7</v>
      </c>
      <c r="B2" s="5" t="s">
        <v>8</v>
      </c>
      <c r="C2" s="6">
        <v>96</v>
      </c>
      <c r="D2" s="27" t="s">
        <v>9</v>
      </c>
      <c r="E2" s="27" t="s">
        <v>10</v>
      </c>
      <c r="F2" s="27" t="s">
        <v>11</v>
      </c>
      <c r="G2" s="17">
        <v>0.44395</v>
      </c>
    </row>
    <row r="3" spans="1:7">
      <c r="A3" s="8" t="s">
        <v>12</v>
      </c>
      <c r="B3" s="9" t="s">
        <v>13</v>
      </c>
      <c r="C3" s="10">
        <v>68</v>
      </c>
      <c r="D3" s="28" t="s">
        <v>14</v>
      </c>
      <c r="E3" s="28" t="s">
        <v>15</v>
      </c>
      <c r="F3" s="18">
        <v>0.8</v>
      </c>
      <c r="G3" s="19">
        <v>0.58985</v>
      </c>
    </row>
    <row r="4" spans="1:7">
      <c r="A4" s="4" t="s">
        <v>16</v>
      </c>
      <c r="B4" s="5" t="s">
        <v>17</v>
      </c>
      <c r="C4" s="6">
        <v>163</v>
      </c>
      <c r="D4" s="27" t="s">
        <v>18</v>
      </c>
      <c r="E4" s="27" t="s">
        <v>19</v>
      </c>
      <c r="F4" s="16">
        <v>3.2578125</v>
      </c>
      <c r="G4" s="17">
        <v>0.66025</v>
      </c>
    </row>
    <row r="5" spans="1:7">
      <c r="A5" s="8" t="s">
        <v>20</v>
      </c>
      <c r="B5" s="9" t="s">
        <v>21</v>
      </c>
      <c r="C5" s="10">
        <v>28</v>
      </c>
      <c r="D5" s="28" t="s">
        <v>18</v>
      </c>
      <c r="E5" s="28" t="s">
        <v>22</v>
      </c>
      <c r="F5" s="18">
        <v>3.108</v>
      </c>
      <c r="G5" s="19">
        <v>0.77745</v>
      </c>
    </row>
    <row r="6" spans="1:7">
      <c r="A6" s="4" t="s">
        <v>23</v>
      </c>
      <c r="B6" s="5" t="s">
        <v>24</v>
      </c>
      <c r="C6" s="6">
        <v>37</v>
      </c>
      <c r="D6" s="27" t="s">
        <v>9</v>
      </c>
      <c r="E6" s="27" t="s">
        <v>10</v>
      </c>
      <c r="F6" s="27" t="s">
        <v>25</v>
      </c>
      <c r="G6" s="17">
        <v>0.5054</v>
      </c>
    </row>
    <row r="7" spans="1:7">
      <c r="A7" s="8" t="s">
        <v>26</v>
      </c>
      <c r="B7" s="9" t="s">
        <v>27</v>
      </c>
      <c r="C7" s="10">
        <v>179</v>
      </c>
      <c r="D7" s="28" t="s">
        <v>14</v>
      </c>
      <c r="E7" s="28" t="s">
        <v>28</v>
      </c>
      <c r="F7" s="28" t="s">
        <v>29</v>
      </c>
      <c r="G7" s="19">
        <v>0.8726</v>
      </c>
    </row>
    <row r="8" spans="1:7">
      <c r="A8" s="4" t="s">
        <v>30</v>
      </c>
      <c r="B8" s="5" t="s">
        <v>31</v>
      </c>
      <c r="C8" s="6">
        <v>4</v>
      </c>
      <c r="D8" s="27" t="s">
        <v>18</v>
      </c>
      <c r="E8" s="27" t="s">
        <v>32</v>
      </c>
      <c r="F8" s="16">
        <v>3.125</v>
      </c>
      <c r="G8" s="17">
        <v>0.7251</v>
      </c>
    </row>
    <row r="9" spans="1:7">
      <c r="A9" s="8" t="s">
        <v>33</v>
      </c>
      <c r="B9" s="9" t="s">
        <v>34</v>
      </c>
      <c r="C9" s="10">
        <v>25</v>
      </c>
      <c r="D9" s="28" t="s">
        <v>35</v>
      </c>
      <c r="E9" s="28" t="s">
        <v>36</v>
      </c>
      <c r="F9" s="18">
        <v>1.4625</v>
      </c>
      <c r="G9" s="19">
        <v>0.91305</v>
      </c>
    </row>
    <row r="10" spans="1:7">
      <c r="A10" s="4" t="s">
        <v>37</v>
      </c>
      <c r="B10" s="5" t="s">
        <v>38</v>
      </c>
      <c r="C10" s="6">
        <v>16</v>
      </c>
      <c r="D10" s="27" t="s">
        <v>39</v>
      </c>
      <c r="E10" s="27" t="s">
        <v>40</v>
      </c>
      <c r="F10" s="16">
        <v>1</v>
      </c>
      <c r="G10" s="17">
        <v>0.493</v>
      </c>
    </row>
    <row r="11" spans="1:7">
      <c r="A11" s="8" t="s">
        <v>41</v>
      </c>
      <c r="B11" s="9" t="s">
        <v>42</v>
      </c>
      <c r="C11" s="10">
        <v>18</v>
      </c>
      <c r="D11" s="28" t="s">
        <v>43</v>
      </c>
      <c r="E11" s="28" t="s">
        <v>44</v>
      </c>
      <c r="F11" s="28" t="s">
        <v>45</v>
      </c>
      <c r="G11" s="19">
        <v>0.4913</v>
      </c>
    </row>
    <row r="12" spans="1:7">
      <c r="A12" s="4" t="s">
        <v>46</v>
      </c>
      <c r="B12" s="5" t="s">
        <v>47</v>
      </c>
      <c r="C12" s="6">
        <v>2</v>
      </c>
      <c r="D12" s="27" t="s">
        <v>48</v>
      </c>
      <c r="E12" s="27" t="s">
        <v>49</v>
      </c>
      <c r="F12" s="16">
        <v>5.975</v>
      </c>
      <c r="G12" s="17">
        <v>0.57025</v>
      </c>
    </row>
    <row r="13" spans="1:7">
      <c r="A13" s="8" t="s">
        <v>50</v>
      </c>
      <c r="B13" s="9" t="s">
        <v>51</v>
      </c>
      <c r="C13" s="10">
        <v>151</v>
      </c>
      <c r="D13" s="28" t="s">
        <v>52</v>
      </c>
      <c r="E13" s="28" t="s">
        <v>53</v>
      </c>
      <c r="F13" s="28" t="s">
        <v>54</v>
      </c>
      <c r="G13" s="19">
        <v>0.4151</v>
      </c>
    </row>
    <row r="14" spans="1:7">
      <c r="A14" s="4" t="s">
        <v>55</v>
      </c>
      <c r="B14" s="5" t="s">
        <v>56</v>
      </c>
      <c r="C14" s="6">
        <v>1</v>
      </c>
      <c r="D14" s="27" t="s">
        <v>57</v>
      </c>
      <c r="E14" s="16">
        <v>0</v>
      </c>
      <c r="F14" s="27" t="s">
        <v>58</v>
      </c>
      <c r="G14" s="17">
        <v>0.09775</v>
      </c>
    </row>
    <row r="15" spans="1:7">
      <c r="A15" s="8" t="s">
        <v>59</v>
      </c>
      <c r="B15" s="9" t="s">
        <v>60</v>
      </c>
      <c r="C15" s="10">
        <v>71</v>
      </c>
      <c r="D15" s="28" t="s">
        <v>61</v>
      </c>
      <c r="E15" s="28" t="s">
        <v>62</v>
      </c>
      <c r="F15" s="28" t="s">
        <v>63</v>
      </c>
      <c r="G15" s="19">
        <v>0.73275</v>
      </c>
    </row>
    <row r="16" spans="1:7">
      <c r="A16" s="4" t="s">
        <v>64</v>
      </c>
      <c r="B16" s="5" t="s">
        <v>65</v>
      </c>
      <c r="C16" s="6">
        <v>0</v>
      </c>
      <c r="D16" s="27" t="s">
        <v>66</v>
      </c>
      <c r="E16" s="16">
        <v>0</v>
      </c>
      <c r="F16" s="16">
        <v>0</v>
      </c>
      <c r="G16" s="17">
        <v>0.3909</v>
      </c>
    </row>
    <row r="17" spans="1:7">
      <c r="A17" s="8" t="s">
        <v>67</v>
      </c>
      <c r="B17" s="9" t="s">
        <v>68</v>
      </c>
      <c r="C17" s="10">
        <v>96</v>
      </c>
      <c r="D17" s="28" t="s">
        <v>69</v>
      </c>
      <c r="E17" s="18">
        <v>0</v>
      </c>
      <c r="F17" s="18">
        <v>0</v>
      </c>
      <c r="G17" s="19">
        <v>0.35075</v>
      </c>
    </row>
    <row r="18" spans="1:7">
      <c r="A18" s="4" t="s">
        <v>70</v>
      </c>
      <c r="B18" s="5" t="s">
        <v>71</v>
      </c>
      <c r="C18" s="6">
        <v>78</v>
      </c>
      <c r="D18" s="27" t="s">
        <v>57</v>
      </c>
      <c r="E18" s="16">
        <v>0</v>
      </c>
      <c r="F18" s="27" t="s">
        <v>72</v>
      </c>
      <c r="G18" s="17">
        <v>0.2522</v>
      </c>
    </row>
    <row r="19" spans="1:7">
      <c r="A19" s="8" t="s">
        <v>73</v>
      </c>
      <c r="B19" s="9" t="s">
        <v>74</v>
      </c>
      <c r="C19" s="10">
        <v>14</v>
      </c>
      <c r="D19" s="28" t="s">
        <v>75</v>
      </c>
      <c r="E19" s="28" t="s">
        <v>76</v>
      </c>
      <c r="F19" s="18">
        <v>3.046875</v>
      </c>
      <c r="G19" s="19">
        <v>0.6942</v>
      </c>
    </row>
    <row r="20" spans="1:7">
      <c r="A20" s="4" t="s">
        <v>77</v>
      </c>
      <c r="B20" s="5" t="s">
        <v>78</v>
      </c>
      <c r="C20" s="6">
        <v>13</v>
      </c>
      <c r="D20" s="27" t="s">
        <v>79</v>
      </c>
      <c r="E20" s="16">
        <v>0</v>
      </c>
      <c r="F20" s="27" t="s">
        <v>80</v>
      </c>
      <c r="G20" s="17">
        <v>0.2605</v>
      </c>
    </row>
    <row r="21" spans="1:7">
      <c r="A21" s="8" t="s">
        <v>81</v>
      </c>
      <c r="B21" s="9" t="s">
        <v>82</v>
      </c>
      <c r="C21" s="10">
        <v>102</v>
      </c>
      <c r="D21" s="18">
        <v>0.234619140625</v>
      </c>
      <c r="E21" s="18">
        <v>0</v>
      </c>
      <c r="F21" s="28" t="s">
        <v>83</v>
      </c>
      <c r="G21" s="19">
        <v>0.29945</v>
      </c>
    </row>
    <row r="22" spans="1:7">
      <c r="A22" s="4" t="s">
        <v>84</v>
      </c>
      <c r="B22" s="5" t="s">
        <v>85</v>
      </c>
      <c r="C22" s="6">
        <v>31</v>
      </c>
      <c r="D22" s="27" t="s">
        <v>18</v>
      </c>
      <c r="E22" s="27" t="s">
        <v>86</v>
      </c>
      <c r="F22" s="16">
        <v>1.875</v>
      </c>
      <c r="G22" s="17">
        <v>0.65835</v>
      </c>
    </row>
    <row r="23" spans="1:7">
      <c r="A23" s="8" t="s">
        <v>87</v>
      </c>
      <c r="B23" s="9" t="s">
        <v>88</v>
      </c>
      <c r="C23" s="10">
        <v>0</v>
      </c>
      <c r="D23" s="28" t="s">
        <v>14</v>
      </c>
      <c r="E23" s="28" t="s">
        <v>89</v>
      </c>
      <c r="F23" s="18">
        <v>0.75</v>
      </c>
      <c r="G23" s="19">
        <v>0.639</v>
      </c>
    </row>
    <row r="24" spans="1:7">
      <c r="A24" s="4" t="s">
        <v>90</v>
      </c>
      <c r="B24" s="5" t="s">
        <v>91</v>
      </c>
      <c r="C24" s="6">
        <v>12</v>
      </c>
      <c r="D24" s="27" t="s">
        <v>92</v>
      </c>
      <c r="E24" s="27" t="s">
        <v>93</v>
      </c>
      <c r="F24" s="16">
        <v>0.45</v>
      </c>
      <c r="G24" s="17">
        <v>0.5651</v>
      </c>
    </row>
    <row r="25" spans="1:7">
      <c r="A25" s="8" t="s">
        <v>94</v>
      </c>
      <c r="B25" s="9" t="s">
        <v>95</v>
      </c>
      <c r="C25" s="10">
        <v>112</v>
      </c>
      <c r="D25" s="28" t="s">
        <v>96</v>
      </c>
      <c r="E25" s="28" t="s">
        <v>97</v>
      </c>
      <c r="F25" s="28" t="s">
        <v>29</v>
      </c>
      <c r="G25" s="19">
        <v>0.52045</v>
      </c>
    </row>
    <row r="26" spans="1:7">
      <c r="A26" s="4" t="s">
        <v>98</v>
      </c>
      <c r="B26" s="5" t="s">
        <v>99</v>
      </c>
      <c r="C26" s="6">
        <v>59</v>
      </c>
      <c r="D26" s="16">
        <v>0.19375</v>
      </c>
      <c r="E26" s="27" t="s">
        <v>100</v>
      </c>
      <c r="F26" s="16">
        <v>1</v>
      </c>
      <c r="G26" s="17">
        <v>0.6133</v>
      </c>
    </row>
    <row r="27" spans="1:7">
      <c r="A27" s="8" t="s">
        <v>101</v>
      </c>
      <c r="B27" s="9" t="s">
        <v>102</v>
      </c>
      <c r="C27" s="10">
        <v>13</v>
      </c>
      <c r="D27" s="28" t="s">
        <v>103</v>
      </c>
      <c r="E27" s="28" t="s">
        <v>104</v>
      </c>
      <c r="F27" s="18">
        <v>1.36875</v>
      </c>
      <c r="G27" s="19">
        <v>0.6157</v>
      </c>
    </row>
    <row r="28" spans="1:7">
      <c r="A28" s="4" t="s">
        <v>105</v>
      </c>
      <c r="B28" s="5" t="s">
        <v>106</v>
      </c>
      <c r="C28" s="6">
        <v>31</v>
      </c>
      <c r="D28" s="27" t="s">
        <v>69</v>
      </c>
      <c r="E28" s="27" t="s">
        <v>107</v>
      </c>
      <c r="F28" s="16">
        <v>1.36875</v>
      </c>
      <c r="G28" s="17">
        <v>0.5257</v>
      </c>
    </row>
    <row r="29" spans="1:7">
      <c r="A29" s="8" t="s">
        <v>108</v>
      </c>
      <c r="B29" s="9" t="s">
        <v>109</v>
      </c>
      <c r="C29" s="10">
        <v>27</v>
      </c>
      <c r="D29" s="28" t="s">
        <v>110</v>
      </c>
      <c r="E29" s="28" t="s">
        <v>111</v>
      </c>
      <c r="F29" s="18">
        <v>1.5</v>
      </c>
      <c r="G29" s="19">
        <v>0.687</v>
      </c>
    </row>
    <row r="30" spans="1:7">
      <c r="A30" s="4" t="s">
        <v>112</v>
      </c>
      <c r="B30" s="5" t="s">
        <v>113</v>
      </c>
      <c r="C30" s="6">
        <v>128</v>
      </c>
      <c r="D30" s="16">
        <v>0.19375</v>
      </c>
      <c r="E30" s="27" t="s">
        <v>114</v>
      </c>
      <c r="F30" s="16">
        <v>1.36875</v>
      </c>
      <c r="G30" s="17">
        <v>0.358</v>
      </c>
    </row>
    <row r="31" spans="1:7">
      <c r="A31" s="8" t="s">
        <v>115</v>
      </c>
      <c r="B31" s="9" t="s">
        <v>116</v>
      </c>
      <c r="C31" s="10">
        <v>64</v>
      </c>
      <c r="D31" s="28" t="s">
        <v>79</v>
      </c>
      <c r="E31" s="18">
        <v>0</v>
      </c>
      <c r="F31" s="18">
        <v>0</v>
      </c>
      <c r="G31" s="19">
        <v>0.08585</v>
      </c>
    </row>
    <row r="32" spans="1:7">
      <c r="A32" s="4" t="s">
        <v>117</v>
      </c>
      <c r="B32" s="5" t="s">
        <v>118</v>
      </c>
      <c r="C32" s="6">
        <v>154</v>
      </c>
      <c r="D32" s="16">
        <v>0</v>
      </c>
      <c r="E32" s="16">
        <v>0</v>
      </c>
      <c r="F32" s="27" t="s">
        <v>119</v>
      </c>
      <c r="G32" s="17">
        <v>0</v>
      </c>
    </row>
    <row r="33" spans="1:7">
      <c r="A33" s="20" t="s">
        <v>120</v>
      </c>
      <c r="B33" s="21" t="s">
        <v>121</v>
      </c>
      <c r="C33" s="10">
        <v>0</v>
      </c>
      <c r="D33" s="22">
        <v>0.24025</v>
      </c>
      <c r="E33" s="30" t="s">
        <v>122</v>
      </c>
      <c r="F33" s="22">
        <v>0</v>
      </c>
      <c r="G33" s="23">
        <v>1.07165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C2" sqref="C2:C33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15" t="s">
        <v>123</v>
      </c>
      <c r="D1" s="15" t="s">
        <v>3</v>
      </c>
      <c r="E1" s="15" t="s">
        <v>4</v>
      </c>
      <c r="F1" s="15" t="s">
        <v>5</v>
      </c>
      <c r="G1" s="3" t="s">
        <v>6</v>
      </c>
    </row>
    <row r="2" spans="1:7">
      <c r="A2" s="4" t="s">
        <v>7</v>
      </c>
      <c r="B2" s="5" t="s">
        <v>8</v>
      </c>
      <c r="C2" s="6">
        <v>80</v>
      </c>
      <c r="D2" s="27" t="s">
        <v>9</v>
      </c>
      <c r="E2" s="27" t="s">
        <v>10</v>
      </c>
      <c r="F2" s="27" t="s">
        <v>11</v>
      </c>
      <c r="G2" s="17">
        <v>0.44395</v>
      </c>
    </row>
    <row r="3" spans="1:7">
      <c r="A3" s="8" t="s">
        <v>12</v>
      </c>
      <c r="B3" s="9" t="s">
        <v>13</v>
      </c>
      <c r="C3" s="10">
        <v>66</v>
      </c>
      <c r="D3" s="28" t="s">
        <v>14</v>
      </c>
      <c r="E3" s="28" t="s">
        <v>15</v>
      </c>
      <c r="F3" s="18">
        <v>0.8</v>
      </c>
      <c r="G3" s="19">
        <v>0.58985</v>
      </c>
    </row>
    <row r="4" spans="1:7">
      <c r="A4" s="4" t="s">
        <v>16</v>
      </c>
      <c r="B4" s="5" t="s">
        <v>17</v>
      </c>
      <c r="C4" s="6">
        <v>160</v>
      </c>
      <c r="D4" s="27" t="s">
        <v>18</v>
      </c>
      <c r="E4" s="27" t="s">
        <v>19</v>
      </c>
      <c r="F4" s="16">
        <v>3.2578125</v>
      </c>
      <c r="G4" s="17">
        <v>0.66025</v>
      </c>
    </row>
    <row r="5" spans="1:7">
      <c r="A5" s="8" t="s">
        <v>20</v>
      </c>
      <c r="B5" s="9" t="s">
        <v>21</v>
      </c>
      <c r="C5" s="10">
        <v>15</v>
      </c>
      <c r="D5" s="28" t="s">
        <v>18</v>
      </c>
      <c r="E5" s="28" t="s">
        <v>22</v>
      </c>
      <c r="F5" s="18">
        <v>3.108</v>
      </c>
      <c r="G5" s="19">
        <v>0.77745</v>
      </c>
    </row>
    <row r="6" spans="1:7">
      <c r="A6" s="4" t="s">
        <v>23</v>
      </c>
      <c r="B6" s="5" t="s">
        <v>24</v>
      </c>
      <c r="C6" s="6">
        <v>51</v>
      </c>
      <c r="D6" s="27" t="s">
        <v>9</v>
      </c>
      <c r="E6" s="27" t="s">
        <v>10</v>
      </c>
      <c r="F6" s="27" t="s">
        <v>25</v>
      </c>
      <c r="G6" s="17">
        <v>0.5054</v>
      </c>
    </row>
    <row r="7" spans="1:7">
      <c r="A7" s="8" t="s">
        <v>26</v>
      </c>
      <c r="B7" s="9" t="s">
        <v>27</v>
      </c>
      <c r="C7" s="10">
        <v>183</v>
      </c>
      <c r="D7" s="28" t="s">
        <v>14</v>
      </c>
      <c r="E7" s="28" t="s">
        <v>28</v>
      </c>
      <c r="F7" s="28" t="s">
        <v>29</v>
      </c>
      <c r="G7" s="19">
        <v>0.8726</v>
      </c>
    </row>
    <row r="8" spans="1:7">
      <c r="A8" s="4" t="s">
        <v>30</v>
      </c>
      <c r="B8" s="5" t="s">
        <v>31</v>
      </c>
      <c r="C8" s="6">
        <v>4</v>
      </c>
      <c r="D8" s="27" t="s">
        <v>18</v>
      </c>
      <c r="E8" s="27" t="s">
        <v>32</v>
      </c>
      <c r="F8" s="16">
        <v>3.125</v>
      </c>
      <c r="G8" s="17">
        <v>0.7251</v>
      </c>
    </row>
    <row r="9" spans="1:7">
      <c r="A9" s="8" t="s">
        <v>33</v>
      </c>
      <c r="B9" s="9" t="s">
        <v>34</v>
      </c>
      <c r="C9" s="10">
        <v>34</v>
      </c>
      <c r="D9" s="28" t="s">
        <v>35</v>
      </c>
      <c r="E9" s="28" t="s">
        <v>36</v>
      </c>
      <c r="F9" s="18">
        <v>1.4625</v>
      </c>
      <c r="G9" s="19">
        <v>0.91305</v>
      </c>
    </row>
    <row r="10" spans="1:7">
      <c r="A10" s="4" t="s">
        <v>37</v>
      </c>
      <c r="B10" s="5" t="s">
        <v>38</v>
      </c>
      <c r="C10" s="6">
        <v>29</v>
      </c>
      <c r="D10" s="27" t="s">
        <v>39</v>
      </c>
      <c r="E10" s="27" t="s">
        <v>40</v>
      </c>
      <c r="F10" s="16">
        <v>1</v>
      </c>
      <c r="G10" s="17">
        <v>0.493</v>
      </c>
    </row>
    <row r="11" spans="1:7">
      <c r="A11" s="8" t="s">
        <v>41</v>
      </c>
      <c r="B11" s="9" t="s">
        <v>42</v>
      </c>
      <c r="C11" s="10">
        <v>15</v>
      </c>
      <c r="D11" s="28" t="s">
        <v>43</v>
      </c>
      <c r="E11" s="28" t="s">
        <v>44</v>
      </c>
      <c r="F11" s="28" t="s">
        <v>45</v>
      </c>
      <c r="G11" s="19">
        <v>0.4913</v>
      </c>
    </row>
    <row r="12" spans="1:7">
      <c r="A12" s="4" t="s">
        <v>46</v>
      </c>
      <c r="B12" s="5" t="s">
        <v>47</v>
      </c>
      <c r="C12" s="6">
        <v>1</v>
      </c>
      <c r="D12" s="27" t="s">
        <v>48</v>
      </c>
      <c r="E12" s="27" t="s">
        <v>49</v>
      </c>
      <c r="F12" s="16">
        <v>5.975</v>
      </c>
      <c r="G12" s="17">
        <v>0.57025</v>
      </c>
    </row>
    <row r="13" spans="1:7">
      <c r="A13" s="8" t="s">
        <v>50</v>
      </c>
      <c r="B13" s="9" t="s">
        <v>51</v>
      </c>
      <c r="C13" s="10">
        <v>169</v>
      </c>
      <c r="D13" s="28" t="s">
        <v>52</v>
      </c>
      <c r="E13" s="28" t="s">
        <v>53</v>
      </c>
      <c r="F13" s="28" t="s">
        <v>54</v>
      </c>
      <c r="G13" s="19">
        <v>0.4151</v>
      </c>
    </row>
    <row r="14" spans="1:7">
      <c r="A14" s="4" t="s">
        <v>55</v>
      </c>
      <c r="B14" s="5" t="s">
        <v>56</v>
      </c>
      <c r="C14" s="6">
        <v>1</v>
      </c>
      <c r="D14" s="27" t="s">
        <v>57</v>
      </c>
      <c r="E14" s="16">
        <v>0</v>
      </c>
      <c r="F14" s="27" t="s">
        <v>58</v>
      </c>
      <c r="G14" s="17">
        <v>0.09775</v>
      </c>
    </row>
    <row r="15" spans="1:7">
      <c r="A15" s="8" t="s">
        <v>59</v>
      </c>
      <c r="B15" s="9" t="s">
        <v>60</v>
      </c>
      <c r="C15" s="10">
        <v>68</v>
      </c>
      <c r="D15" s="28" t="s">
        <v>61</v>
      </c>
      <c r="E15" s="28" t="s">
        <v>62</v>
      </c>
      <c r="F15" s="28" t="s">
        <v>63</v>
      </c>
      <c r="G15" s="19">
        <v>0.73275</v>
      </c>
    </row>
    <row r="16" spans="1:7">
      <c r="A16" s="4" t="s">
        <v>64</v>
      </c>
      <c r="B16" s="5" t="s">
        <v>65</v>
      </c>
      <c r="C16" s="6">
        <v>0</v>
      </c>
      <c r="D16" s="27" t="s">
        <v>66</v>
      </c>
      <c r="E16" s="16">
        <v>0</v>
      </c>
      <c r="F16" s="16">
        <v>0</v>
      </c>
      <c r="G16" s="17">
        <v>0.3909</v>
      </c>
    </row>
    <row r="17" spans="1:7">
      <c r="A17" s="8" t="s">
        <v>67</v>
      </c>
      <c r="B17" s="9" t="s">
        <v>68</v>
      </c>
      <c r="C17" s="10">
        <v>94</v>
      </c>
      <c r="D17" s="28" t="s">
        <v>69</v>
      </c>
      <c r="E17" s="18">
        <v>0</v>
      </c>
      <c r="F17" s="18">
        <v>0</v>
      </c>
      <c r="G17" s="19">
        <v>0.35075</v>
      </c>
    </row>
    <row r="18" spans="1:7">
      <c r="A18" s="4" t="s">
        <v>70</v>
      </c>
      <c r="B18" s="5" t="s">
        <v>71</v>
      </c>
      <c r="C18" s="6">
        <v>67</v>
      </c>
      <c r="D18" s="27" t="s">
        <v>57</v>
      </c>
      <c r="E18" s="16">
        <v>0</v>
      </c>
      <c r="F18" s="27" t="s">
        <v>72</v>
      </c>
      <c r="G18" s="17">
        <v>0.2522</v>
      </c>
    </row>
    <row r="19" spans="1:7">
      <c r="A19" s="8" t="s">
        <v>73</v>
      </c>
      <c r="B19" s="9" t="s">
        <v>74</v>
      </c>
      <c r="C19" s="10">
        <v>21</v>
      </c>
      <c r="D19" s="28" t="s">
        <v>75</v>
      </c>
      <c r="E19" s="28" t="s">
        <v>76</v>
      </c>
      <c r="F19" s="18">
        <v>3.046875</v>
      </c>
      <c r="G19" s="19">
        <v>0.6942</v>
      </c>
    </row>
    <row r="20" spans="1:7">
      <c r="A20" s="4" t="s">
        <v>77</v>
      </c>
      <c r="B20" s="5" t="s">
        <v>78</v>
      </c>
      <c r="C20" s="6">
        <v>16</v>
      </c>
      <c r="D20" s="27" t="s">
        <v>79</v>
      </c>
      <c r="E20" s="16">
        <v>0</v>
      </c>
      <c r="F20" s="27" t="s">
        <v>80</v>
      </c>
      <c r="G20" s="17">
        <v>0.2605</v>
      </c>
    </row>
    <row r="21" spans="1:7">
      <c r="A21" s="8" t="s">
        <v>81</v>
      </c>
      <c r="B21" s="9" t="s">
        <v>82</v>
      </c>
      <c r="C21" s="10">
        <v>123</v>
      </c>
      <c r="D21" s="18">
        <v>0.234619140625</v>
      </c>
      <c r="E21" s="18">
        <v>0</v>
      </c>
      <c r="F21" s="28" t="s">
        <v>83</v>
      </c>
      <c r="G21" s="19">
        <v>0.29945</v>
      </c>
    </row>
    <row r="22" spans="1:7">
      <c r="A22" s="4" t="s">
        <v>84</v>
      </c>
      <c r="B22" s="5" t="s">
        <v>85</v>
      </c>
      <c r="C22" s="6">
        <v>20</v>
      </c>
      <c r="D22" s="27" t="s">
        <v>18</v>
      </c>
      <c r="E22" s="27" t="s">
        <v>86</v>
      </c>
      <c r="F22" s="16">
        <v>1.875</v>
      </c>
      <c r="G22" s="17">
        <v>0.65835</v>
      </c>
    </row>
    <row r="23" spans="1:7">
      <c r="A23" s="8" t="s">
        <v>87</v>
      </c>
      <c r="B23" s="9" t="s">
        <v>88</v>
      </c>
      <c r="C23" s="10">
        <v>0</v>
      </c>
      <c r="D23" s="28" t="s">
        <v>14</v>
      </c>
      <c r="E23" s="28" t="s">
        <v>89</v>
      </c>
      <c r="F23" s="18">
        <v>0.75</v>
      </c>
      <c r="G23" s="19">
        <v>0.639</v>
      </c>
    </row>
    <row r="24" spans="1:7">
      <c r="A24" s="4" t="s">
        <v>90</v>
      </c>
      <c r="B24" s="5" t="s">
        <v>91</v>
      </c>
      <c r="C24" s="6">
        <v>19</v>
      </c>
      <c r="D24" s="27" t="s">
        <v>92</v>
      </c>
      <c r="E24" s="27" t="s">
        <v>93</v>
      </c>
      <c r="F24" s="16">
        <v>0.45</v>
      </c>
      <c r="G24" s="17">
        <v>0.5651</v>
      </c>
    </row>
    <row r="25" spans="1:7">
      <c r="A25" s="8" t="s">
        <v>94</v>
      </c>
      <c r="B25" s="9" t="s">
        <v>95</v>
      </c>
      <c r="C25" s="10">
        <v>127</v>
      </c>
      <c r="D25" s="28" t="s">
        <v>96</v>
      </c>
      <c r="E25" s="28" t="s">
        <v>97</v>
      </c>
      <c r="F25" s="28" t="s">
        <v>29</v>
      </c>
      <c r="G25" s="19">
        <v>0.52045</v>
      </c>
    </row>
    <row r="26" spans="1:7">
      <c r="A26" s="4" t="s">
        <v>98</v>
      </c>
      <c r="B26" s="5" t="s">
        <v>99</v>
      </c>
      <c r="C26" s="6">
        <v>52</v>
      </c>
      <c r="D26" s="16">
        <v>0.19375</v>
      </c>
      <c r="E26" s="27" t="s">
        <v>100</v>
      </c>
      <c r="F26" s="16">
        <v>1</v>
      </c>
      <c r="G26" s="17">
        <v>0.6133</v>
      </c>
    </row>
    <row r="27" spans="1:7">
      <c r="A27" s="8" t="s">
        <v>101</v>
      </c>
      <c r="B27" s="9" t="s">
        <v>102</v>
      </c>
      <c r="C27" s="10">
        <v>18</v>
      </c>
      <c r="D27" s="28" t="s">
        <v>103</v>
      </c>
      <c r="E27" s="28" t="s">
        <v>104</v>
      </c>
      <c r="F27" s="18">
        <v>1.36875</v>
      </c>
      <c r="G27" s="19">
        <v>0.6157</v>
      </c>
    </row>
    <row r="28" spans="1:7">
      <c r="A28" s="4" t="s">
        <v>105</v>
      </c>
      <c r="B28" s="5" t="s">
        <v>106</v>
      </c>
      <c r="C28" s="6">
        <v>23</v>
      </c>
      <c r="D28" s="27" t="s">
        <v>69</v>
      </c>
      <c r="E28" s="27" t="s">
        <v>107</v>
      </c>
      <c r="F28" s="16">
        <v>1.36875</v>
      </c>
      <c r="G28" s="17">
        <v>0.5257</v>
      </c>
    </row>
    <row r="29" spans="1:7">
      <c r="A29" s="8" t="s">
        <v>108</v>
      </c>
      <c r="B29" s="9" t="s">
        <v>109</v>
      </c>
      <c r="C29" s="10">
        <v>29</v>
      </c>
      <c r="D29" s="28" t="s">
        <v>110</v>
      </c>
      <c r="E29" s="28" t="s">
        <v>111</v>
      </c>
      <c r="F29" s="18">
        <v>1.5</v>
      </c>
      <c r="G29" s="19">
        <v>0.687</v>
      </c>
    </row>
    <row r="30" spans="1:7">
      <c r="A30" s="4" t="s">
        <v>112</v>
      </c>
      <c r="B30" s="5" t="s">
        <v>113</v>
      </c>
      <c r="C30" s="6">
        <v>144</v>
      </c>
      <c r="D30" s="16">
        <v>0.19375</v>
      </c>
      <c r="E30" s="27" t="s">
        <v>114</v>
      </c>
      <c r="F30" s="16">
        <v>1.36875</v>
      </c>
      <c r="G30" s="17">
        <v>0.358</v>
      </c>
    </row>
    <row r="31" spans="1:7">
      <c r="A31" s="8" t="s">
        <v>115</v>
      </c>
      <c r="B31" s="9" t="s">
        <v>116</v>
      </c>
      <c r="C31" s="10">
        <v>60</v>
      </c>
      <c r="D31" s="28" t="s">
        <v>79</v>
      </c>
      <c r="E31" s="18">
        <v>0</v>
      </c>
      <c r="F31" s="18">
        <v>0</v>
      </c>
      <c r="G31" s="19">
        <v>0.08585</v>
      </c>
    </row>
    <row r="32" spans="1:7">
      <c r="A32" s="4" t="s">
        <v>117</v>
      </c>
      <c r="B32" s="5" t="s">
        <v>118</v>
      </c>
      <c r="C32" s="6">
        <v>160</v>
      </c>
      <c r="D32" s="16">
        <v>0</v>
      </c>
      <c r="E32" s="16">
        <v>0</v>
      </c>
      <c r="F32" s="27" t="s">
        <v>119</v>
      </c>
      <c r="G32" s="17">
        <v>0</v>
      </c>
    </row>
    <row r="33" spans="1:7">
      <c r="A33" s="20" t="s">
        <v>120</v>
      </c>
      <c r="B33" s="21" t="s">
        <v>121</v>
      </c>
      <c r="C33" s="10">
        <v>0</v>
      </c>
      <c r="D33" s="22">
        <v>0.24025</v>
      </c>
      <c r="E33" s="30" t="s">
        <v>122</v>
      </c>
      <c r="F33" s="22">
        <v>0</v>
      </c>
      <c r="G33" s="23">
        <v>1.07165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C2" sqref="C2:C33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15" t="s">
        <v>123</v>
      </c>
      <c r="D1" s="15" t="s">
        <v>3</v>
      </c>
      <c r="E1" s="15" t="s">
        <v>4</v>
      </c>
      <c r="F1" s="15" t="s">
        <v>5</v>
      </c>
      <c r="G1" s="3" t="s">
        <v>6</v>
      </c>
    </row>
    <row r="2" spans="1:7">
      <c r="A2" s="4" t="s">
        <v>7</v>
      </c>
      <c r="B2" s="5" t="s">
        <v>8</v>
      </c>
      <c r="C2" s="6">
        <v>106</v>
      </c>
      <c r="D2" s="27" t="s">
        <v>9</v>
      </c>
      <c r="E2" s="27" t="s">
        <v>10</v>
      </c>
      <c r="F2" s="27" t="s">
        <v>11</v>
      </c>
      <c r="G2" s="17">
        <v>0.44395</v>
      </c>
    </row>
    <row r="3" spans="1:7">
      <c r="A3" s="8" t="s">
        <v>12</v>
      </c>
      <c r="B3" s="9" t="s">
        <v>13</v>
      </c>
      <c r="C3" s="10">
        <v>75</v>
      </c>
      <c r="D3" s="28" t="s">
        <v>14</v>
      </c>
      <c r="E3" s="28" t="s">
        <v>15</v>
      </c>
      <c r="F3" s="18">
        <v>0.8</v>
      </c>
      <c r="G3" s="19">
        <v>0.58985</v>
      </c>
    </row>
    <row r="4" spans="1:7">
      <c r="A4" s="4" t="s">
        <v>16</v>
      </c>
      <c r="B4" s="5" t="s">
        <v>17</v>
      </c>
      <c r="C4" s="6">
        <v>139</v>
      </c>
      <c r="D4" s="27" t="s">
        <v>18</v>
      </c>
      <c r="E4" s="27" t="s">
        <v>19</v>
      </c>
      <c r="F4" s="16">
        <v>3.2578125</v>
      </c>
      <c r="G4" s="17">
        <v>0.66025</v>
      </c>
    </row>
    <row r="5" spans="1:7">
      <c r="A5" s="8" t="s">
        <v>20</v>
      </c>
      <c r="B5" s="9" t="s">
        <v>21</v>
      </c>
      <c r="C5" s="10">
        <v>40</v>
      </c>
      <c r="D5" s="28" t="s">
        <v>18</v>
      </c>
      <c r="E5" s="28" t="s">
        <v>22</v>
      </c>
      <c r="F5" s="18">
        <v>3.108</v>
      </c>
      <c r="G5" s="19">
        <v>0.77745</v>
      </c>
    </row>
    <row r="6" spans="1:7">
      <c r="A6" s="4" t="s">
        <v>23</v>
      </c>
      <c r="B6" s="5" t="s">
        <v>24</v>
      </c>
      <c r="C6" s="6">
        <v>39</v>
      </c>
      <c r="D6" s="27" t="s">
        <v>9</v>
      </c>
      <c r="E6" s="27" t="s">
        <v>10</v>
      </c>
      <c r="F6" s="27" t="s">
        <v>25</v>
      </c>
      <c r="G6" s="17">
        <v>0.5054</v>
      </c>
    </row>
    <row r="7" spans="1:7">
      <c r="A7" s="8" t="s">
        <v>26</v>
      </c>
      <c r="B7" s="9" t="s">
        <v>27</v>
      </c>
      <c r="C7" s="10">
        <v>151</v>
      </c>
      <c r="D7" s="28" t="s">
        <v>14</v>
      </c>
      <c r="E7" s="28" t="s">
        <v>28</v>
      </c>
      <c r="F7" s="28" t="s">
        <v>29</v>
      </c>
      <c r="G7" s="19">
        <v>0.8726</v>
      </c>
    </row>
    <row r="8" spans="1:7">
      <c r="A8" s="4" t="s">
        <v>30</v>
      </c>
      <c r="B8" s="5" t="s">
        <v>31</v>
      </c>
      <c r="C8" s="6">
        <v>4</v>
      </c>
      <c r="D8" s="27" t="s">
        <v>18</v>
      </c>
      <c r="E8" s="27" t="s">
        <v>32</v>
      </c>
      <c r="F8" s="16">
        <v>3.125</v>
      </c>
      <c r="G8" s="17">
        <v>0.7251</v>
      </c>
    </row>
    <row r="9" spans="1:7">
      <c r="A9" s="8" t="s">
        <v>33</v>
      </c>
      <c r="B9" s="9" t="s">
        <v>34</v>
      </c>
      <c r="C9" s="10">
        <v>22</v>
      </c>
      <c r="D9" s="28" t="s">
        <v>35</v>
      </c>
      <c r="E9" s="28" t="s">
        <v>36</v>
      </c>
      <c r="F9" s="18">
        <v>1.4625</v>
      </c>
      <c r="G9" s="19">
        <v>0.91305</v>
      </c>
    </row>
    <row r="10" spans="1:7">
      <c r="A10" s="4" t="s">
        <v>37</v>
      </c>
      <c r="B10" s="5" t="s">
        <v>38</v>
      </c>
      <c r="C10" s="6">
        <v>42</v>
      </c>
      <c r="D10" s="27" t="s">
        <v>39</v>
      </c>
      <c r="E10" s="27" t="s">
        <v>40</v>
      </c>
      <c r="F10" s="16">
        <v>1</v>
      </c>
      <c r="G10" s="17">
        <v>0.493</v>
      </c>
    </row>
    <row r="11" spans="1:7">
      <c r="A11" s="8" t="s">
        <v>41</v>
      </c>
      <c r="B11" s="9" t="s">
        <v>42</v>
      </c>
      <c r="C11" s="10">
        <v>28</v>
      </c>
      <c r="D11" s="28" t="s">
        <v>43</v>
      </c>
      <c r="E11" s="28" t="s">
        <v>44</v>
      </c>
      <c r="F11" s="28" t="s">
        <v>45</v>
      </c>
      <c r="G11" s="19">
        <v>0.4913</v>
      </c>
    </row>
    <row r="12" spans="1:7">
      <c r="A12" s="4" t="s">
        <v>46</v>
      </c>
      <c r="B12" s="5" t="s">
        <v>47</v>
      </c>
      <c r="C12" s="6">
        <v>9</v>
      </c>
      <c r="D12" s="27" t="s">
        <v>48</v>
      </c>
      <c r="E12" s="27" t="s">
        <v>49</v>
      </c>
      <c r="F12" s="16">
        <v>5.975</v>
      </c>
      <c r="G12" s="17">
        <v>0.57025</v>
      </c>
    </row>
    <row r="13" spans="1:7">
      <c r="A13" s="8" t="s">
        <v>50</v>
      </c>
      <c r="B13" s="9" t="s">
        <v>51</v>
      </c>
      <c r="C13" s="10">
        <v>168</v>
      </c>
      <c r="D13" s="28" t="s">
        <v>52</v>
      </c>
      <c r="E13" s="28" t="s">
        <v>53</v>
      </c>
      <c r="F13" s="28" t="s">
        <v>54</v>
      </c>
      <c r="G13" s="19">
        <v>0.4151</v>
      </c>
    </row>
    <row r="14" spans="1:7">
      <c r="A14" s="4" t="s">
        <v>55</v>
      </c>
      <c r="B14" s="5" t="s">
        <v>56</v>
      </c>
      <c r="C14" s="6">
        <v>2</v>
      </c>
      <c r="D14" s="27" t="s">
        <v>57</v>
      </c>
      <c r="E14" s="16">
        <v>0</v>
      </c>
      <c r="F14" s="27" t="s">
        <v>58</v>
      </c>
      <c r="G14" s="17">
        <v>0.09775</v>
      </c>
    </row>
    <row r="15" spans="1:7">
      <c r="A15" s="8" t="s">
        <v>59</v>
      </c>
      <c r="B15" s="9" t="s">
        <v>60</v>
      </c>
      <c r="C15" s="10">
        <v>49</v>
      </c>
      <c r="D15" s="28" t="s">
        <v>61</v>
      </c>
      <c r="E15" s="28" t="s">
        <v>62</v>
      </c>
      <c r="F15" s="28" t="s">
        <v>63</v>
      </c>
      <c r="G15" s="19">
        <v>0.73275</v>
      </c>
    </row>
    <row r="16" spans="1:7">
      <c r="A16" s="4" t="s">
        <v>64</v>
      </c>
      <c r="B16" s="5" t="s">
        <v>65</v>
      </c>
      <c r="C16" s="6">
        <v>1</v>
      </c>
      <c r="D16" s="27" t="s">
        <v>66</v>
      </c>
      <c r="E16" s="16">
        <v>0</v>
      </c>
      <c r="F16" s="16">
        <v>0</v>
      </c>
      <c r="G16" s="17">
        <v>0.3909</v>
      </c>
    </row>
    <row r="17" spans="1:7">
      <c r="A17" s="8" t="s">
        <v>67</v>
      </c>
      <c r="B17" s="9" t="s">
        <v>68</v>
      </c>
      <c r="C17" s="10">
        <v>82</v>
      </c>
      <c r="D17" s="28" t="s">
        <v>69</v>
      </c>
      <c r="E17" s="18">
        <v>0</v>
      </c>
      <c r="F17" s="18">
        <v>0</v>
      </c>
      <c r="G17" s="19">
        <v>0.35075</v>
      </c>
    </row>
    <row r="18" spans="1:7">
      <c r="A18" s="4" t="s">
        <v>70</v>
      </c>
      <c r="B18" s="5" t="s">
        <v>71</v>
      </c>
      <c r="C18" s="6">
        <v>83</v>
      </c>
      <c r="D18" s="27" t="s">
        <v>57</v>
      </c>
      <c r="E18" s="16">
        <v>0</v>
      </c>
      <c r="F18" s="27" t="s">
        <v>72</v>
      </c>
      <c r="G18" s="17">
        <v>0.2522</v>
      </c>
    </row>
    <row r="19" spans="1:7">
      <c r="A19" s="8" t="s">
        <v>73</v>
      </c>
      <c r="B19" s="9" t="s">
        <v>74</v>
      </c>
      <c r="C19" s="10">
        <v>36</v>
      </c>
      <c r="D19" s="28" t="s">
        <v>75</v>
      </c>
      <c r="E19" s="28" t="s">
        <v>76</v>
      </c>
      <c r="F19" s="18">
        <v>3.046875</v>
      </c>
      <c r="G19" s="19">
        <v>0.6942</v>
      </c>
    </row>
    <row r="20" spans="1:7">
      <c r="A20" s="4" t="s">
        <v>77</v>
      </c>
      <c r="B20" s="5" t="s">
        <v>78</v>
      </c>
      <c r="C20" s="6">
        <v>25</v>
      </c>
      <c r="D20" s="27" t="s">
        <v>79</v>
      </c>
      <c r="E20" s="16">
        <v>0</v>
      </c>
      <c r="F20" s="27" t="s">
        <v>80</v>
      </c>
      <c r="G20" s="17">
        <v>0.2605</v>
      </c>
    </row>
    <row r="21" spans="1:7">
      <c r="A21" s="8" t="s">
        <v>81</v>
      </c>
      <c r="B21" s="9" t="s">
        <v>82</v>
      </c>
      <c r="C21" s="10">
        <v>156</v>
      </c>
      <c r="D21" s="18">
        <v>0.234619140625</v>
      </c>
      <c r="E21" s="18">
        <v>0</v>
      </c>
      <c r="F21" s="28" t="s">
        <v>83</v>
      </c>
      <c r="G21" s="19">
        <v>0.29945</v>
      </c>
    </row>
    <row r="22" spans="1:7">
      <c r="A22" s="4" t="s">
        <v>84</v>
      </c>
      <c r="B22" s="5" t="s">
        <v>85</v>
      </c>
      <c r="C22" s="6">
        <v>36</v>
      </c>
      <c r="D22" s="27" t="s">
        <v>18</v>
      </c>
      <c r="E22" s="27" t="s">
        <v>86</v>
      </c>
      <c r="F22" s="16">
        <v>1.875</v>
      </c>
      <c r="G22" s="17">
        <v>0.65835</v>
      </c>
    </row>
    <row r="23" spans="1:7">
      <c r="A23" s="8" t="s">
        <v>87</v>
      </c>
      <c r="B23" s="9" t="s">
        <v>88</v>
      </c>
      <c r="C23" s="10">
        <v>0</v>
      </c>
      <c r="D23" s="28" t="s">
        <v>14</v>
      </c>
      <c r="E23" s="28" t="s">
        <v>89</v>
      </c>
      <c r="F23" s="18">
        <v>0.75</v>
      </c>
      <c r="G23" s="19">
        <v>0.639</v>
      </c>
    </row>
    <row r="24" spans="1:7">
      <c r="A24" s="4" t="s">
        <v>90</v>
      </c>
      <c r="B24" s="5" t="s">
        <v>91</v>
      </c>
      <c r="C24" s="6">
        <v>19</v>
      </c>
      <c r="D24" s="27" t="s">
        <v>92</v>
      </c>
      <c r="E24" s="27" t="s">
        <v>93</v>
      </c>
      <c r="F24" s="16">
        <v>0.45</v>
      </c>
      <c r="G24" s="17">
        <v>0.5651</v>
      </c>
    </row>
    <row r="25" spans="1:7">
      <c r="A25" s="8" t="s">
        <v>94</v>
      </c>
      <c r="B25" s="9" t="s">
        <v>95</v>
      </c>
      <c r="C25" s="10">
        <v>88</v>
      </c>
      <c r="D25" s="28" t="s">
        <v>96</v>
      </c>
      <c r="E25" s="28" t="s">
        <v>97</v>
      </c>
      <c r="F25" s="28" t="s">
        <v>29</v>
      </c>
      <c r="G25" s="19">
        <v>0.52045</v>
      </c>
    </row>
    <row r="26" spans="1:7">
      <c r="A26" s="4" t="s">
        <v>98</v>
      </c>
      <c r="B26" s="5" t="s">
        <v>99</v>
      </c>
      <c r="C26" s="6">
        <v>177</v>
      </c>
      <c r="D26" s="16">
        <v>0.19375</v>
      </c>
      <c r="E26" s="27" t="s">
        <v>100</v>
      </c>
      <c r="F26" s="16">
        <v>1</v>
      </c>
      <c r="G26" s="17">
        <v>0.6133</v>
      </c>
    </row>
    <row r="27" spans="1:7">
      <c r="A27" s="8" t="s">
        <v>101</v>
      </c>
      <c r="B27" s="9" t="s">
        <v>102</v>
      </c>
      <c r="C27" s="10">
        <v>18</v>
      </c>
      <c r="D27" s="28" t="s">
        <v>103</v>
      </c>
      <c r="E27" s="28" t="s">
        <v>104</v>
      </c>
      <c r="F27" s="18">
        <v>1.36875</v>
      </c>
      <c r="G27" s="19">
        <v>0.6157</v>
      </c>
    </row>
    <row r="28" spans="1:7">
      <c r="A28" s="4" t="s">
        <v>105</v>
      </c>
      <c r="B28" s="5" t="s">
        <v>106</v>
      </c>
      <c r="C28" s="6">
        <v>21</v>
      </c>
      <c r="D28" s="27" t="s">
        <v>69</v>
      </c>
      <c r="E28" s="27" t="s">
        <v>107</v>
      </c>
      <c r="F28" s="16">
        <v>1.36875</v>
      </c>
      <c r="G28" s="17">
        <v>0.5257</v>
      </c>
    </row>
    <row r="29" spans="1:7">
      <c r="A29" s="8" t="s">
        <v>108</v>
      </c>
      <c r="B29" s="9" t="s">
        <v>109</v>
      </c>
      <c r="C29" s="10">
        <v>27</v>
      </c>
      <c r="D29" s="28" t="s">
        <v>110</v>
      </c>
      <c r="E29" s="28" t="s">
        <v>111</v>
      </c>
      <c r="F29" s="18">
        <v>1.5</v>
      </c>
      <c r="G29" s="19">
        <v>0.687</v>
      </c>
    </row>
    <row r="30" spans="1:7">
      <c r="A30" s="4" t="s">
        <v>112</v>
      </c>
      <c r="B30" s="5" t="s">
        <v>113</v>
      </c>
      <c r="C30" s="6">
        <v>128</v>
      </c>
      <c r="D30" s="16">
        <v>0.19375</v>
      </c>
      <c r="E30" s="27" t="s">
        <v>114</v>
      </c>
      <c r="F30" s="16">
        <v>1.36875</v>
      </c>
      <c r="G30" s="17">
        <v>0.358</v>
      </c>
    </row>
    <row r="31" spans="1:7">
      <c r="A31" s="8" t="s">
        <v>115</v>
      </c>
      <c r="B31" s="9" t="s">
        <v>116</v>
      </c>
      <c r="C31" s="10">
        <v>51</v>
      </c>
      <c r="D31" s="28" t="s">
        <v>79</v>
      </c>
      <c r="E31" s="18">
        <v>0</v>
      </c>
      <c r="F31" s="18">
        <v>0</v>
      </c>
      <c r="G31" s="19">
        <v>0.08585</v>
      </c>
    </row>
    <row r="32" spans="1:7">
      <c r="A32" s="4" t="s">
        <v>117</v>
      </c>
      <c r="B32" s="5" t="s">
        <v>118</v>
      </c>
      <c r="C32" s="6">
        <v>110</v>
      </c>
      <c r="D32" s="16">
        <v>0</v>
      </c>
      <c r="E32" s="16">
        <v>0</v>
      </c>
      <c r="F32" s="27" t="s">
        <v>119</v>
      </c>
      <c r="G32" s="17">
        <v>0</v>
      </c>
    </row>
    <row r="33" spans="1:7">
      <c r="A33" s="20" t="s">
        <v>120</v>
      </c>
      <c r="B33" s="21" t="s">
        <v>121</v>
      </c>
      <c r="C33" s="10">
        <v>0</v>
      </c>
      <c r="D33" s="22">
        <v>0.24025</v>
      </c>
      <c r="E33" s="30" t="s">
        <v>122</v>
      </c>
      <c r="F33" s="22">
        <v>0</v>
      </c>
      <c r="G33" s="23">
        <v>1.07165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C2" sqref="C2:C33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15" t="s">
        <v>123</v>
      </c>
      <c r="D1" s="15" t="s">
        <v>3</v>
      </c>
      <c r="E1" s="15" t="s">
        <v>4</v>
      </c>
      <c r="F1" s="15" t="s">
        <v>5</v>
      </c>
      <c r="G1" s="3" t="s">
        <v>6</v>
      </c>
    </row>
    <row r="2" spans="1:7">
      <c r="A2" s="4" t="s">
        <v>7</v>
      </c>
      <c r="B2" s="5" t="s">
        <v>8</v>
      </c>
      <c r="C2" s="6">
        <v>75</v>
      </c>
      <c r="D2" s="27" t="s">
        <v>9</v>
      </c>
      <c r="E2" s="27" t="s">
        <v>10</v>
      </c>
      <c r="F2" s="27" t="s">
        <v>11</v>
      </c>
      <c r="G2" s="17">
        <v>0.44395</v>
      </c>
    </row>
    <row r="3" spans="1:7">
      <c r="A3" s="8" t="s">
        <v>12</v>
      </c>
      <c r="B3" s="9" t="s">
        <v>13</v>
      </c>
      <c r="C3" s="10">
        <v>63</v>
      </c>
      <c r="D3" s="28" t="s">
        <v>14</v>
      </c>
      <c r="E3" s="28" t="s">
        <v>15</v>
      </c>
      <c r="F3" s="18">
        <v>0.8</v>
      </c>
      <c r="G3" s="19">
        <v>0.58985</v>
      </c>
    </row>
    <row r="4" spans="1:7">
      <c r="A4" s="4" t="s">
        <v>16</v>
      </c>
      <c r="B4" s="5" t="s">
        <v>17</v>
      </c>
      <c r="C4" s="6">
        <v>127</v>
      </c>
      <c r="D4" s="27" t="s">
        <v>18</v>
      </c>
      <c r="E4" s="27" t="s">
        <v>19</v>
      </c>
      <c r="F4" s="16">
        <v>3.2578125</v>
      </c>
      <c r="G4" s="17">
        <v>0.66025</v>
      </c>
    </row>
    <row r="5" spans="1:7">
      <c r="A5" s="8" t="s">
        <v>20</v>
      </c>
      <c r="B5" s="9" t="s">
        <v>21</v>
      </c>
      <c r="C5" s="10">
        <v>36</v>
      </c>
      <c r="D5" s="28" t="s">
        <v>18</v>
      </c>
      <c r="E5" s="28" t="s">
        <v>22</v>
      </c>
      <c r="F5" s="18">
        <v>3.108</v>
      </c>
      <c r="G5" s="19">
        <v>0.77745</v>
      </c>
    </row>
    <row r="6" spans="1:7">
      <c r="A6" s="4" t="s">
        <v>23</v>
      </c>
      <c r="B6" s="5" t="s">
        <v>24</v>
      </c>
      <c r="C6" s="6">
        <v>53</v>
      </c>
      <c r="D6" s="27" t="s">
        <v>9</v>
      </c>
      <c r="E6" s="27" t="s">
        <v>10</v>
      </c>
      <c r="F6" s="27" t="s">
        <v>25</v>
      </c>
      <c r="G6" s="17">
        <v>0.5054</v>
      </c>
    </row>
    <row r="7" spans="1:7">
      <c r="A7" s="8" t="s">
        <v>26</v>
      </c>
      <c r="B7" s="9" t="s">
        <v>27</v>
      </c>
      <c r="C7" s="10">
        <v>168</v>
      </c>
      <c r="D7" s="28" t="s">
        <v>14</v>
      </c>
      <c r="E7" s="28" t="s">
        <v>28</v>
      </c>
      <c r="F7" s="28" t="s">
        <v>29</v>
      </c>
      <c r="G7" s="19">
        <v>0.8726</v>
      </c>
    </row>
    <row r="8" spans="1:7">
      <c r="A8" s="4" t="s">
        <v>30</v>
      </c>
      <c r="B8" s="5" t="s">
        <v>31</v>
      </c>
      <c r="C8" s="6">
        <v>6</v>
      </c>
      <c r="D8" s="27" t="s">
        <v>18</v>
      </c>
      <c r="E8" s="27" t="s">
        <v>32</v>
      </c>
      <c r="F8" s="16">
        <v>3.125</v>
      </c>
      <c r="G8" s="17">
        <v>0.7251</v>
      </c>
    </row>
    <row r="9" spans="1:7">
      <c r="A9" s="8" t="s">
        <v>33</v>
      </c>
      <c r="B9" s="9" t="s">
        <v>34</v>
      </c>
      <c r="C9" s="10">
        <v>33</v>
      </c>
      <c r="D9" s="28" t="s">
        <v>35</v>
      </c>
      <c r="E9" s="28" t="s">
        <v>36</v>
      </c>
      <c r="F9" s="18">
        <v>1.4625</v>
      </c>
      <c r="G9" s="19">
        <v>0.91305</v>
      </c>
    </row>
    <row r="10" spans="1:7">
      <c r="A10" s="4" t="s">
        <v>37</v>
      </c>
      <c r="B10" s="5" t="s">
        <v>38</v>
      </c>
      <c r="C10" s="6">
        <v>29</v>
      </c>
      <c r="D10" s="27" t="s">
        <v>39</v>
      </c>
      <c r="E10" s="27" t="s">
        <v>40</v>
      </c>
      <c r="F10" s="16">
        <v>1</v>
      </c>
      <c r="G10" s="17">
        <v>0.493</v>
      </c>
    </row>
    <row r="11" spans="1:7">
      <c r="A11" s="8" t="s">
        <v>41</v>
      </c>
      <c r="B11" s="9" t="s">
        <v>42</v>
      </c>
      <c r="C11" s="10">
        <v>26</v>
      </c>
      <c r="D11" s="28" t="s">
        <v>43</v>
      </c>
      <c r="E11" s="28" t="s">
        <v>44</v>
      </c>
      <c r="F11" s="28" t="s">
        <v>45</v>
      </c>
      <c r="G11" s="19">
        <v>0.4913</v>
      </c>
    </row>
    <row r="12" spans="1:7">
      <c r="A12" s="4" t="s">
        <v>46</v>
      </c>
      <c r="B12" s="5" t="s">
        <v>47</v>
      </c>
      <c r="C12" s="6">
        <v>5</v>
      </c>
      <c r="D12" s="27" t="s">
        <v>48</v>
      </c>
      <c r="E12" s="27" t="s">
        <v>49</v>
      </c>
      <c r="F12" s="16">
        <v>5.975</v>
      </c>
      <c r="G12" s="17">
        <v>0.57025</v>
      </c>
    </row>
    <row r="13" spans="1:7">
      <c r="A13" s="8" t="s">
        <v>50</v>
      </c>
      <c r="B13" s="9" t="s">
        <v>51</v>
      </c>
      <c r="C13" s="10">
        <v>129</v>
      </c>
      <c r="D13" s="28" t="s">
        <v>52</v>
      </c>
      <c r="E13" s="28" t="s">
        <v>53</v>
      </c>
      <c r="F13" s="28" t="s">
        <v>54</v>
      </c>
      <c r="G13" s="19">
        <v>0.4151</v>
      </c>
    </row>
    <row r="14" spans="1:7">
      <c r="A14" s="4" t="s">
        <v>55</v>
      </c>
      <c r="B14" s="5" t="s">
        <v>56</v>
      </c>
      <c r="C14" s="6">
        <v>0</v>
      </c>
      <c r="D14" s="27" t="s">
        <v>57</v>
      </c>
      <c r="E14" s="16">
        <v>0</v>
      </c>
      <c r="F14" s="27" t="s">
        <v>58</v>
      </c>
      <c r="G14" s="17">
        <v>0.09775</v>
      </c>
    </row>
    <row r="15" spans="1:7">
      <c r="A15" s="8" t="s">
        <v>59</v>
      </c>
      <c r="B15" s="9" t="s">
        <v>60</v>
      </c>
      <c r="C15" s="10">
        <v>59</v>
      </c>
      <c r="D15" s="28" t="s">
        <v>61</v>
      </c>
      <c r="E15" s="28" t="s">
        <v>62</v>
      </c>
      <c r="F15" s="28" t="s">
        <v>63</v>
      </c>
      <c r="G15" s="19">
        <v>0.73275</v>
      </c>
    </row>
    <row r="16" spans="1:7">
      <c r="A16" s="4" t="s">
        <v>64</v>
      </c>
      <c r="B16" s="5" t="s">
        <v>65</v>
      </c>
      <c r="C16" s="6">
        <v>1</v>
      </c>
      <c r="D16" s="27" t="s">
        <v>66</v>
      </c>
      <c r="E16" s="16">
        <v>0</v>
      </c>
      <c r="F16" s="16">
        <v>0</v>
      </c>
      <c r="G16" s="17">
        <v>0.3909</v>
      </c>
    </row>
    <row r="17" spans="1:7">
      <c r="A17" s="8" t="s">
        <v>67</v>
      </c>
      <c r="B17" s="9" t="s">
        <v>68</v>
      </c>
      <c r="C17" s="10">
        <v>81</v>
      </c>
      <c r="D17" s="28" t="s">
        <v>69</v>
      </c>
      <c r="E17" s="18">
        <v>0</v>
      </c>
      <c r="F17" s="18">
        <v>0</v>
      </c>
      <c r="G17" s="19">
        <v>0.35075</v>
      </c>
    </row>
    <row r="18" spans="1:7">
      <c r="A18" s="4" t="s">
        <v>70</v>
      </c>
      <c r="B18" s="5" t="s">
        <v>71</v>
      </c>
      <c r="C18" s="6">
        <v>85</v>
      </c>
      <c r="D18" s="27" t="s">
        <v>57</v>
      </c>
      <c r="E18" s="16">
        <v>0</v>
      </c>
      <c r="F18" s="27" t="s">
        <v>72</v>
      </c>
      <c r="G18" s="17">
        <v>0.2522</v>
      </c>
    </row>
    <row r="19" spans="1:7">
      <c r="A19" s="8" t="s">
        <v>73</v>
      </c>
      <c r="B19" s="9" t="s">
        <v>74</v>
      </c>
      <c r="C19" s="10">
        <v>52</v>
      </c>
      <c r="D19" s="28" t="s">
        <v>75</v>
      </c>
      <c r="E19" s="28" t="s">
        <v>76</v>
      </c>
      <c r="F19" s="18">
        <v>3.046875</v>
      </c>
      <c r="G19" s="19">
        <v>0.6942</v>
      </c>
    </row>
    <row r="20" spans="1:7">
      <c r="A20" s="4" t="s">
        <v>77</v>
      </c>
      <c r="B20" s="5" t="s">
        <v>78</v>
      </c>
      <c r="C20" s="6">
        <v>38</v>
      </c>
      <c r="D20" s="27" t="s">
        <v>79</v>
      </c>
      <c r="E20" s="16">
        <v>0</v>
      </c>
      <c r="F20" s="27" t="s">
        <v>80</v>
      </c>
      <c r="G20" s="17">
        <v>0.2605</v>
      </c>
    </row>
    <row r="21" spans="1:7">
      <c r="A21" s="8" t="s">
        <v>81</v>
      </c>
      <c r="B21" s="9" t="s">
        <v>82</v>
      </c>
      <c r="C21" s="10">
        <v>136</v>
      </c>
      <c r="D21" s="18">
        <v>0.234619140625</v>
      </c>
      <c r="E21" s="18">
        <v>0</v>
      </c>
      <c r="F21" s="28" t="s">
        <v>83</v>
      </c>
      <c r="G21" s="19">
        <v>0.29945</v>
      </c>
    </row>
    <row r="22" spans="1:7">
      <c r="A22" s="4" t="s">
        <v>84</v>
      </c>
      <c r="B22" s="5" t="s">
        <v>85</v>
      </c>
      <c r="C22" s="6">
        <v>37</v>
      </c>
      <c r="D22" s="27" t="s">
        <v>18</v>
      </c>
      <c r="E22" s="27" t="s">
        <v>86</v>
      </c>
      <c r="F22" s="16">
        <v>1.875</v>
      </c>
      <c r="G22" s="17">
        <v>0.65835</v>
      </c>
    </row>
    <row r="23" spans="1:7">
      <c r="A23" s="8" t="s">
        <v>87</v>
      </c>
      <c r="B23" s="9" t="s">
        <v>88</v>
      </c>
      <c r="C23" s="10">
        <v>0</v>
      </c>
      <c r="D23" s="28" t="s">
        <v>14</v>
      </c>
      <c r="E23" s="28" t="s">
        <v>89</v>
      </c>
      <c r="F23" s="18">
        <v>0.75</v>
      </c>
      <c r="G23" s="19">
        <v>0.639</v>
      </c>
    </row>
    <row r="24" spans="1:7">
      <c r="A24" s="4" t="s">
        <v>90</v>
      </c>
      <c r="B24" s="5" t="s">
        <v>91</v>
      </c>
      <c r="C24" s="6">
        <v>13</v>
      </c>
      <c r="D24" s="27" t="s">
        <v>92</v>
      </c>
      <c r="E24" s="27" t="s">
        <v>93</v>
      </c>
      <c r="F24" s="16">
        <v>0.45</v>
      </c>
      <c r="G24" s="17">
        <v>0.5651</v>
      </c>
    </row>
    <row r="25" spans="1:7">
      <c r="A25" s="8" t="s">
        <v>94</v>
      </c>
      <c r="B25" s="9" t="s">
        <v>95</v>
      </c>
      <c r="C25" s="10">
        <v>89</v>
      </c>
      <c r="D25" s="28" t="s">
        <v>96</v>
      </c>
      <c r="E25" s="28" t="s">
        <v>97</v>
      </c>
      <c r="F25" s="28" t="s">
        <v>29</v>
      </c>
      <c r="G25" s="19">
        <v>0.52045</v>
      </c>
    </row>
    <row r="26" spans="1:7">
      <c r="A26" s="4" t="s">
        <v>98</v>
      </c>
      <c r="B26" s="5" t="s">
        <v>99</v>
      </c>
      <c r="C26" s="6">
        <v>196</v>
      </c>
      <c r="D26" s="16">
        <v>0.19375</v>
      </c>
      <c r="E26" s="27" t="s">
        <v>100</v>
      </c>
      <c r="F26" s="16">
        <v>1</v>
      </c>
      <c r="G26" s="17">
        <v>0.6133</v>
      </c>
    </row>
    <row r="27" spans="1:7">
      <c r="A27" s="8" t="s">
        <v>101</v>
      </c>
      <c r="B27" s="9" t="s">
        <v>102</v>
      </c>
      <c r="C27" s="10">
        <v>22</v>
      </c>
      <c r="D27" s="28" t="s">
        <v>103</v>
      </c>
      <c r="E27" s="28" t="s">
        <v>104</v>
      </c>
      <c r="F27" s="18">
        <v>1.36875</v>
      </c>
      <c r="G27" s="19">
        <v>0.6157</v>
      </c>
    </row>
    <row r="28" spans="1:7">
      <c r="A28" s="4" t="s">
        <v>105</v>
      </c>
      <c r="B28" s="5" t="s">
        <v>106</v>
      </c>
      <c r="C28" s="6">
        <v>26</v>
      </c>
      <c r="D28" s="27" t="s">
        <v>69</v>
      </c>
      <c r="E28" s="27" t="s">
        <v>107</v>
      </c>
      <c r="F28" s="16">
        <v>1.36875</v>
      </c>
      <c r="G28" s="17">
        <v>0.5257</v>
      </c>
    </row>
    <row r="29" spans="1:7">
      <c r="A29" s="8" t="s">
        <v>108</v>
      </c>
      <c r="B29" s="9" t="s">
        <v>109</v>
      </c>
      <c r="C29" s="10">
        <v>28</v>
      </c>
      <c r="D29" s="28" t="s">
        <v>110</v>
      </c>
      <c r="E29" s="28" t="s">
        <v>111</v>
      </c>
      <c r="F29" s="18">
        <v>1.5</v>
      </c>
      <c r="G29" s="19">
        <v>0.687</v>
      </c>
    </row>
    <row r="30" spans="1:7">
      <c r="A30" s="4" t="s">
        <v>112</v>
      </c>
      <c r="B30" s="5" t="s">
        <v>113</v>
      </c>
      <c r="C30" s="6">
        <v>127</v>
      </c>
      <c r="D30" s="16">
        <v>0.19375</v>
      </c>
      <c r="E30" s="27" t="s">
        <v>114</v>
      </c>
      <c r="F30" s="16">
        <v>1.36875</v>
      </c>
      <c r="G30" s="17">
        <v>0.358</v>
      </c>
    </row>
    <row r="31" spans="1:7">
      <c r="A31" s="8" t="s">
        <v>115</v>
      </c>
      <c r="B31" s="9" t="s">
        <v>116</v>
      </c>
      <c r="C31" s="10">
        <v>73</v>
      </c>
      <c r="D31" s="28" t="s">
        <v>79</v>
      </c>
      <c r="E31" s="18">
        <v>0</v>
      </c>
      <c r="F31" s="18">
        <v>0</v>
      </c>
      <c r="G31" s="19">
        <v>0.08585</v>
      </c>
    </row>
    <row r="32" spans="1:7">
      <c r="A32" s="4" t="s">
        <v>117</v>
      </c>
      <c r="B32" s="5" t="s">
        <v>118</v>
      </c>
      <c r="C32" s="6">
        <v>112</v>
      </c>
      <c r="D32" s="16">
        <v>0</v>
      </c>
      <c r="E32" s="16">
        <v>0</v>
      </c>
      <c r="F32" s="27" t="s">
        <v>119</v>
      </c>
      <c r="G32" s="17">
        <v>0</v>
      </c>
    </row>
    <row r="33" spans="1:7">
      <c r="A33" s="20" t="s">
        <v>120</v>
      </c>
      <c r="B33" s="21" t="s">
        <v>121</v>
      </c>
      <c r="C33" s="10">
        <v>0</v>
      </c>
      <c r="D33" s="22">
        <v>0.24025</v>
      </c>
      <c r="E33" s="30" t="s">
        <v>122</v>
      </c>
      <c r="F33" s="22">
        <v>0</v>
      </c>
      <c r="G33" s="23">
        <v>1.07165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C2" sqref="C2:C33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15" t="s">
        <v>123</v>
      </c>
      <c r="D1" s="15" t="s">
        <v>3</v>
      </c>
      <c r="E1" s="15" t="s">
        <v>4</v>
      </c>
      <c r="F1" s="15" t="s">
        <v>5</v>
      </c>
      <c r="G1" s="3" t="s">
        <v>6</v>
      </c>
    </row>
    <row r="2" spans="1:7">
      <c r="A2" s="4" t="s">
        <v>7</v>
      </c>
      <c r="B2" s="5" t="s">
        <v>8</v>
      </c>
      <c r="C2" s="6">
        <v>71</v>
      </c>
      <c r="D2" s="27" t="s">
        <v>9</v>
      </c>
      <c r="E2" s="27" t="s">
        <v>10</v>
      </c>
      <c r="F2" s="27" t="s">
        <v>11</v>
      </c>
      <c r="G2" s="17">
        <v>0.44395</v>
      </c>
    </row>
    <row r="3" spans="1:7">
      <c r="A3" s="8" t="s">
        <v>12</v>
      </c>
      <c r="B3" s="9" t="s">
        <v>13</v>
      </c>
      <c r="C3" s="10">
        <v>79</v>
      </c>
      <c r="D3" s="28" t="s">
        <v>14</v>
      </c>
      <c r="E3" s="28" t="s">
        <v>15</v>
      </c>
      <c r="F3" s="18">
        <v>0.8</v>
      </c>
      <c r="G3" s="19">
        <v>0.58985</v>
      </c>
    </row>
    <row r="4" spans="1:7">
      <c r="A4" s="4" t="s">
        <v>16</v>
      </c>
      <c r="B4" s="5" t="s">
        <v>17</v>
      </c>
      <c r="C4" s="6">
        <v>143</v>
      </c>
      <c r="D4" s="27" t="s">
        <v>18</v>
      </c>
      <c r="E4" s="27" t="s">
        <v>19</v>
      </c>
      <c r="F4" s="16">
        <v>3.2578125</v>
      </c>
      <c r="G4" s="17">
        <v>0.66025</v>
      </c>
    </row>
    <row r="5" spans="1:7">
      <c r="A5" s="8" t="s">
        <v>20</v>
      </c>
      <c r="B5" s="9" t="s">
        <v>21</v>
      </c>
      <c r="C5" s="10">
        <v>27</v>
      </c>
      <c r="D5" s="28" t="s">
        <v>18</v>
      </c>
      <c r="E5" s="28" t="s">
        <v>22</v>
      </c>
      <c r="F5" s="18">
        <v>3.108</v>
      </c>
      <c r="G5" s="19">
        <v>0.77745</v>
      </c>
    </row>
    <row r="6" spans="1:7">
      <c r="A6" s="4" t="s">
        <v>23</v>
      </c>
      <c r="B6" s="5" t="s">
        <v>24</v>
      </c>
      <c r="C6" s="6">
        <v>53</v>
      </c>
      <c r="D6" s="27" t="s">
        <v>9</v>
      </c>
      <c r="E6" s="27" t="s">
        <v>10</v>
      </c>
      <c r="F6" s="27" t="s">
        <v>25</v>
      </c>
      <c r="G6" s="17">
        <v>0.5054</v>
      </c>
    </row>
    <row r="7" spans="1:7">
      <c r="A7" s="8" t="s">
        <v>26</v>
      </c>
      <c r="B7" s="9" t="s">
        <v>27</v>
      </c>
      <c r="C7" s="10">
        <v>175</v>
      </c>
      <c r="D7" s="28" t="s">
        <v>14</v>
      </c>
      <c r="E7" s="28" t="s">
        <v>28</v>
      </c>
      <c r="F7" s="28" t="s">
        <v>29</v>
      </c>
      <c r="G7" s="19">
        <v>0.8726</v>
      </c>
    </row>
    <row r="8" spans="1:7">
      <c r="A8" s="4" t="s">
        <v>30</v>
      </c>
      <c r="B8" s="5" t="s">
        <v>31</v>
      </c>
      <c r="C8" s="6">
        <v>7</v>
      </c>
      <c r="D8" s="27" t="s">
        <v>18</v>
      </c>
      <c r="E8" s="27" t="s">
        <v>32</v>
      </c>
      <c r="F8" s="16">
        <v>3.125</v>
      </c>
      <c r="G8" s="17">
        <v>0.7251</v>
      </c>
    </row>
    <row r="9" spans="1:7">
      <c r="A9" s="8" t="s">
        <v>33</v>
      </c>
      <c r="B9" s="9" t="s">
        <v>34</v>
      </c>
      <c r="C9" s="10">
        <v>37</v>
      </c>
      <c r="D9" s="28" t="s">
        <v>35</v>
      </c>
      <c r="E9" s="28" t="s">
        <v>36</v>
      </c>
      <c r="F9" s="18">
        <v>1.4625</v>
      </c>
      <c r="G9" s="19">
        <v>0.91305</v>
      </c>
    </row>
    <row r="10" spans="1:7">
      <c r="A10" s="4" t="s">
        <v>37</v>
      </c>
      <c r="B10" s="5" t="s">
        <v>38</v>
      </c>
      <c r="C10" s="6">
        <v>37</v>
      </c>
      <c r="D10" s="27" t="s">
        <v>39</v>
      </c>
      <c r="E10" s="27" t="s">
        <v>40</v>
      </c>
      <c r="F10" s="16">
        <v>1</v>
      </c>
      <c r="G10" s="17">
        <v>0.493</v>
      </c>
    </row>
    <row r="11" spans="1:7">
      <c r="A11" s="8" t="s">
        <v>41</v>
      </c>
      <c r="B11" s="9" t="s">
        <v>42</v>
      </c>
      <c r="C11" s="10">
        <v>16</v>
      </c>
      <c r="D11" s="28" t="s">
        <v>43</v>
      </c>
      <c r="E11" s="28" t="s">
        <v>44</v>
      </c>
      <c r="F11" s="28" t="s">
        <v>45</v>
      </c>
      <c r="G11" s="19">
        <v>0.4913</v>
      </c>
    </row>
    <row r="12" spans="1:7">
      <c r="A12" s="4" t="s">
        <v>46</v>
      </c>
      <c r="B12" s="5" t="s">
        <v>47</v>
      </c>
      <c r="C12" s="6">
        <v>5</v>
      </c>
      <c r="D12" s="27" t="s">
        <v>48</v>
      </c>
      <c r="E12" s="27" t="s">
        <v>49</v>
      </c>
      <c r="F12" s="16">
        <v>5.975</v>
      </c>
      <c r="G12" s="17">
        <v>0.57025</v>
      </c>
    </row>
    <row r="13" spans="1:7">
      <c r="A13" s="8" t="s">
        <v>50</v>
      </c>
      <c r="B13" s="9" t="s">
        <v>51</v>
      </c>
      <c r="C13" s="10">
        <v>145</v>
      </c>
      <c r="D13" s="28" t="s">
        <v>52</v>
      </c>
      <c r="E13" s="28" t="s">
        <v>53</v>
      </c>
      <c r="F13" s="28" t="s">
        <v>54</v>
      </c>
      <c r="G13" s="19">
        <v>0.4151</v>
      </c>
    </row>
    <row r="14" spans="1:7">
      <c r="A14" s="4" t="s">
        <v>55</v>
      </c>
      <c r="B14" s="5" t="s">
        <v>56</v>
      </c>
      <c r="C14" s="6">
        <v>2</v>
      </c>
      <c r="D14" s="27" t="s">
        <v>57</v>
      </c>
      <c r="E14" s="16">
        <v>0</v>
      </c>
      <c r="F14" s="27" t="s">
        <v>58</v>
      </c>
      <c r="G14" s="17">
        <v>0.09775</v>
      </c>
    </row>
    <row r="15" spans="1:7">
      <c r="A15" s="8" t="s">
        <v>59</v>
      </c>
      <c r="B15" s="9" t="s">
        <v>60</v>
      </c>
      <c r="C15" s="10">
        <v>44</v>
      </c>
      <c r="D15" s="28" t="s">
        <v>61</v>
      </c>
      <c r="E15" s="28" t="s">
        <v>62</v>
      </c>
      <c r="F15" s="28" t="s">
        <v>63</v>
      </c>
      <c r="G15" s="19">
        <v>0.73275</v>
      </c>
    </row>
    <row r="16" spans="1:7">
      <c r="A16" s="4" t="s">
        <v>64</v>
      </c>
      <c r="B16" s="5" t="s">
        <v>65</v>
      </c>
      <c r="C16" s="6">
        <v>0</v>
      </c>
      <c r="D16" s="27" t="s">
        <v>66</v>
      </c>
      <c r="E16" s="16">
        <v>0</v>
      </c>
      <c r="F16" s="16">
        <v>0</v>
      </c>
      <c r="G16" s="17">
        <v>0.3909</v>
      </c>
    </row>
    <row r="17" spans="1:7">
      <c r="A17" s="8" t="s">
        <v>67</v>
      </c>
      <c r="B17" s="9" t="s">
        <v>68</v>
      </c>
      <c r="C17" s="10">
        <v>73</v>
      </c>
      <c r="D17" s="28" t="s">
        <v>69</v>
      </c>
      <c r="E17" s="18">
        <v>0</v>
      </c>
      <c r="F17" s="18">
        <v>0</v>
      </c>
      <c r="G17" s="19">
        <v>0.35075</v>
      </c>
    </row>
    <row r="18" spans="1:7">
      <c r="A18" s="4" t="s">
        <v>70</v>
      </c>
      <c r="B18" s="5" t="s">
        <v>71</v>
      </c>
      <c r="C18" s="6">
        <v>95</v>
      </c>
      <c r="D18" s="27" t="s">
        <v>57</v>
      </c>
      <c r="E18" s="16">
        <v>0</v>
      </c>
      <c r="F18" s="27" t="s">
        <v>72</v>
      </c>
      <c r="G18" s="17">
        <v>0.2522</v>
      </c>
    </row>
    <row r="19" spans="1:7">
      <c r="A19" s="8" t="s">
        <v>73</v>
      </c>
      <c r="B19" s="9" t="s">
        <v>74</v>
      </c>
      <c r="C19" s="10">
        <v>38</v>
      </c>
      <c r="D19" s="28" t="s">
        <v>75</v>
      </c>
      <c r="E19" s="28" t="s">
        <v>76</v>
      </c>
      <c r="F19" s="18">
        <v>3.046875</v>
      </c>
      <c r="G19" s="19">
        <v>0.6942</v>
      </c>
    </row>
    <row r="20" spans="1:7">
      <c r="A20" s="4" t="s">
        <v>77</v>
      </c>
      <c r="B20" s="5" t="s">
        <v>78</v>
      </c>
      <c r="C20" s="6">
        <v>26</v>
      </c>
      <c r="D20" s="27" t="s">
        <v>79</v>
      </c>
      <c r="E20" s="16">
        <v>0</v>
      </c>
      <c r="F20" s="27" t="s">
        <v>80</v>
      </c>
      <c r="G20" s="17">
        <v>0.2605</v>
      </c>
    </row>
    <row r="21" spans="1:7">
      <c r="A21" s="8" t="s">
        <v>81</v>
      </c>
      <c r="B21" s="9" t="s">
        <v>82</v>
      </c>
      <c r="C21" s="10">
        <v>133</v>
      </c>
      <c r="D21" s="18">
        <v>0.234619140625</v>
      </c>
      <c r="E21" s="18">
        <v>0</v>
      </c>
      <c r="F21" s="28" t="s">
        <v>83</v>
      </c>
      <c r="G21" s="19">
        <v>0.29945</v>
      </c>
    </row>
    <row r="22" spans="1:7">
      <c r="A22" s="4" t="s">
        <v>84</v>
      </c>
      <c r="B22" s="5" t="s">
        <v>85</v>
      </c>
      <c r="C22" s="6">
        <v>32</v>
      </c>
      <c r="D22" s="27" t="s">
        <v>18</v>
      </c>
      <c r="E22" s="27" t="s">
        <v>86</v>
      </c>
      <c r="F22" s="16">
        <v>1.875</v>
      </c>
      <c r="G22" s="17">
        <v>0.65835</v>
      </c>
    </row>
    <row r="23" spans="1:7">
      <c r="A23" s="8" t="s">
        <v>87</v>
      </c>
      <c r="B23" s="9" t="s">
        <v>88</v>
      </c>
      <c r="C23" s="10">
        <v>0</v>
      </c>
      <c r="D23" s="28" t="s">
        <v>14</v>
      </c>
      <c r="E23" s="28" t="s">
        <v>89</v>
      </c>
      <c r="F23" s="18">
        <v>0.75</v>
      </c>
      <c r="G23" s="19">
        <v>0.639</v>
      </c>
    </row>
    <row r="24" spans="1:7">
      <c r="A24" s="4" t="s">
        <v>90</v>
      </c>
      <c r="B24" s="5" t="s">
        <v>91</v>
      </c>
      <c r="C24" s="6">
        <v>23</v>
      </c>
      <c r="D24" s="27" t="s">
        <v>92</v>
      </c>
      <c r="E24" s="27" t="s">
        <v>93</v>
      </c>
      <c r="F24" s="16">
        <v>0.45</v>
      </c>
      <c r="G24" s="17">
        <v>0.5651</v>
      </c>
    </row>
    <row r="25" spans="1:7">
      <c r="A25" s="8" t="s">
        <v>94</v>
      </c>
      <c r="B25" s="9" t="s">
        <v>95</v>
      </c>
      <c r="C25" s="10">
        <v>108</v>
      </c>
      <c r="D25" s="28" t="s">
        <v>96</v>
      </c>
      <c r="E25" s="28" t="s">
        <v>97</v>
      </c>
      <c r="F25" s="28" t="s">
        <v>29</v>
      </c>
      <c r="G25" s="19">
        <v>0.52045</v>
      </c>
    </row>
    <row r="26" spans="1:7">
      <c r="A26" s="4" t="s">
        <v>98</v>
      </c>
      <c r="B26" s="5" t="s">
        <v>99</v>
      </c>
      <c r="C26" s="6">
        <v>222</v>
      </c>
      <c r="D26" s="16">
        <v>0.19375</v>
      </c>
      <c r="E26" s="27" t="s">
        <v>100</v>
      </c>
      <c r="F26" s="16">
        <v>1</v>
      </c>
      <c r="G26" s="17">
        <v>0.6133</v>
      </c>
    </row>
    <row r="27" spans="1:7">
      <c r="A27" s="8" t="s">
        <v>101</v>
      </c>
      <c r="B27" s="9" t="s">
        <v>102</v>
      </c>
      <c r="C27" s="10">
        <v>35</v>
      </c>
      <c r="D27" s="28" t="s">
        <v>103</v>
      </c>
      <c r="E27" s="28" t="s">
        <v>104</v>
      </c>
      <c r="F27" s="18">
        <v>1.36875</v>
      </c>
      <c r="G27" s="19">
        <v>0.6157</v>
      </c>
    </row>
    <row r="28" spans="1:7">
      <c r="A28" s="4" t="s">
        <v>105</v>
      </c>
      <c r="B28" s="5" t="s">
        <v>106</v>
      </c>
      <c r="C28" s="6">
        <v>24</v>
      </c>
      <c r="D28" s="27" t="s">
        <v>69</v>
      </c>
      <c r="E28" s="27" t="s">
        <v>107</v>
      </c>
      <c r="F28" s="16">
        <v>1.36875</v>
      </c>
      <c r="G28" s="17">
        <v>0.5257</v>
      </c>
    </row>
    <row r="29" spans="1:7">
      <c r="A29" s="8" t="s">
        <v>108</v>
      </c>
      <c r="B29" s="9" t="s">
        <v>109</v>
      </c>
      <c r="C29" s="10">
        <v>27</v>
      </c>
      <c r="D29" s="28" t="s">
        <v>110</v>
      </c>
      <c r="E29" s="28" t="s">
        <v>111</v>
      </c>
      <c r="F29" s="18">
        <v>1.5</v>
      </c>
      <c r="G29" s="19">
        <v>0.687</v>
      </c>
    </row>
    <row r="30" spans="1:7">
      <c r="A30" s="4" t="s">
        <v>112</v>
      </c>
      <c r="B30" s="5" t="s">
        <v>113</v>
      </c>
      <c r="C30" s="6">
        <v>138</v>
      </c>
      <c r="D30" s="16">
        <v>0.19375</v>
      </c>
      <c r="E30" s="27" t="s">
        <v>114</v>
      </c>
      <c r="F30" s="16">
        <v>1.36875</v>
      </c>
      <c r="G30" s="17">
        <v>0.358</v>
      </c>
    </row>
    <row r="31" spans="1:7">
      <c r="A31" s="8" t="s">
        <v>115</v>
      </c>
      <c r="B31" s="9" t="s">
        <v>116</v>
      </c>
      <c r="C31" s="10">
        <v>78</v>
      </c>
      <c r="D31" s="28" t="s">
        <v>79</v>
      </c>
      <c r="E31" s="18">
        <v>0</v>
      </c>
      <c r="F31" s="18">
        <v>0</v>
      </c>
      <c r="G31" s="19">
        <v>0.08585</v>
      </c>
    </row>
    <row r="32" spans="1:7">
      <c r="A32" s="4" t="s">
        <v>117</v>
      </c>
      <c r="B32" s="5" t="s">
        <v>118</v>
      </c>
      <c r="C32" s="6">
        <v>125</v>
      </c>
      <c r="D32" s="16">
        <v>0</v>
      </c>
      <c r="E32" s="16">
        <v>0</v>
      </c>
      <c r="F32" s="27" t="s">
        <v>119</v>
      </c>
      <c r="G32" s="17">
        <v>0</v>
      </c>
    </row>
    <row r="33" spans="1:7">
      <c r="A33" s="20" t="s">
        <v>120</v>
      </c>
      <c r="B33" s="21" t="s">
        <v>121</v>
      </c>
      <c r="C33" s="10">
        <v>0</v>
      </c>
      <c r="D33" s="22">
        <v>0.24025</v>
      </c>
      <c r="E33" s="30" t="s">
        <v>122</v>
      </c>
      <c r="F33" s="22">
        <v>0</v>
      </c>
      <c r="G33" s="23">
        <v>1.07165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C2" sqref="C2:C33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15" t="s">
        <v>123</v>
      </c>
      <c r="D1" s="15" t="s">
        <v>3</v>
      </c>
      <c r="E1" s="15" t="s">
        <v>4</v>
      </c>
      <c r="F1" s="15" t="s">
        <v>5</v>
      </c>
      <c r="G1" s="3" t="s">
        <v>6</v>
      </c>
    </row>
    <row r="2" spans="1:7">
      <c r="A2" s="4" t="s">
        <v>7</v>
      </c>
      <c r="B2" s="5" t="s">
        <v>8</v>
      </c>
      <c r="C2" s="6">
        <v>275</v>
      </c>
      <c r="D2" s="27" t="s">
        <v>9</v>
      </c>
      <c r="E2" s="27" t="s">
        <v>10</v>
      </c>
      <c r="F2" s="27" t="s">
        <v>11</v>
      </c>
      <c r="G2" s="17">
        <v>0.44395</v>
      </c>
    </row>
    <row r="3" spans="1:7">
      <c r="A3" s="8" t="s">
        <v>12</v>
      </c>
      <c r="B3" s="9" t="s">
        <v>13</v>
      </c>
      <c r="C3" s="10">
        <v>209</v>
      </c>
      <c r="D3" s="28" t="s">
        <v>14</v>
      </c>
      <c r="E3" s="28" t="s">
        <v>15</v>
      </c>
      <c r="F3" s="18">
        <v>0.8</v>
      </c>
      <c r="G3" s="19">
        <v>0.58985</v>
      </c>
    </row>
    <row r="4" spans="1:7">
      <c r="A4" s="4" t="s">
        <v>16</v>
      </c>
      <c r="B4" s="5" t="s">
        <v>17</v>
      </c>
      <c r="C4" s="6">
        <v>517</v>
      </c>
      <c r="D4" s="27" t="s">
        <v>18</v>
      </c>
      <c r="E4" s="27" t="s">
        <v>19</v>
      </c>
      <c r="F4" s="16">
        <v>3.2578125</v>
      </c>
      <c r="G4" s="17">
        <v>0.66025</v>
      </c>
    </row>
    <row r="5" spans="1:7">
      <c r="A5" s="8" t="s">
        <v>20</v>
      </c>
      <c r="B5" s="9" t="s">
        <v>21</v>
      </c>
      <c r="C5" s="10">
        <v>64</v>
      </c>
      <c r="D5" s="28" t="s">
        <v>18</v>
      </c>
      <c r="E5" s="28" t="s">
        <v>22</v>
      </c>
      <c r="F5" s="18">
        <v>3.108</v>
      </c>
      <c r="G5" s="19">
        <v>0.77745</v>
      </c>
    </row>
    <row r="6" spans="1:7">
      <c r="A6" s="4" t="s">
        <v>23</v>
      </c>
      <c r="B6" s="5" t="s">
        <v>24</v>
      </c>
      <c r="C6" s="6">
        <v>122</v>
      </c>
      <c r="D6" s="27" t="s">
        <v>9</v>
      </c>
      <c r="E6" s="27" t="s">
        <v>10</v>
      </c>
      <c r="F6" s="27" t="s">
        <v>25</v>
      </c>
      <c r="G6" s="17">
        <v>0.5054</v>
      </c>
    </row>
    <row r="7" spans="1:7">
      <c r="A7" s="8" t="s">
        <v>26</v>
      </c>
      <c r="B7" s="9" t="s">
        <v>27</v>
      </c>
      <c r="C7" s="10">
        <v>521</v>
      </c>
      <c r="D7" s="28" t="s">
        <v>14</v>
      </c>
      <c r="E7" s="28" t="s">
        <v>28</v>
      </c>
      <c r="F7" s="28" t="s">
        <v>29</v>
      </c>
      <c r="G7" s="19">
        <v>0.8726</v>
      </c>
    </row>
    <row r="8" spans="1:7">
      <c r="A8" s="4" t="s">
        <v>30</v>
      </c>
      <c r="B8" s="5" t="s">
        <v>31</v>
      </c>
      <c r="C8" s="6">
        <v>13</v>
      </c>
      <c r="D8" s="27" t="s">
        <v>18</v>
      </c>
      <c r="E8" s="27" t="s">
        <v>32</v>
      </c>
      <c r="F8" s="16">
        <v>3.125</v>
      </c>
      <c r="G8" s="17">
        <v>0.7251</v>
      </c>
    </row>
    <row r="9" spans="1:7">
      <c r="A9" s="8" t="s">
        <v>33</v>
      </c>
      <c r="B9" s="9" t="s">
        <v>34</v>
      </c>
      <c r="C9" s="10">
        <v>70</v>
      </c>
      <c r="D9" s="28" t="s">
        <v>35</v>
      </c>
      <c r="E9" s="28" t="s">
        <v>36</v>
      </c>
      <c r="F9" s="18">
        <v>1.4625</v>
      </c>
      <c r="G9" s="19">
        <v>0.91305</v>
      </c>
    </row>
    <row r="10" spans="1:7">
      <c r="A10" s="4" t="s">
        <v>37</v>
      </c>
      <c r="B10" s="5" t="s">
        <v>38</v>
      </c>
      <c r="C10" s="6">
        <v>56</v>
      </c>
      <c r="D10" s="27" t="s">
        <v>39</v>
      </c>
      <c r="E10" s="27" t="s">
        <v>40</v>
      </c>
      <c r="F10" s="16">
        <v>1</v>
      </c>
      <c r="G10" s="17">
        <v>0.493</v>
      </c>
    </row>
    <row r="11" spans="1:7">
      <c r="A11" s="8" t="s">
        <v>41</v>
      </c>
      <c r="B11" s="9" t="s">
        <v>42</v>
      </c>
      <c r="C11" s="10">
        <v>58</v>
      </c>
      <c r="D11" s="28" t="s">
        <v>43</v>
      </c>
      <c r="E11" s="28" t="s">
        <v>44</v>
      </c>
      <c r="F11" s="28" t="s">
        <v>45</v>
      </c>
      <c r="G11" s="19">
        <v>0.4913</v>
      </c>
    </row>
    <row r="12" spans="1:7">
      <c r="A12" s="4" t="s">
        <v>46</v>
      </c>
      <c r="B12" s="5" t="s">
        <v>47</v>
      </c>
      <c r="C12" s="6">
        <v>6</v>
      </c>
      <c r="D12" s="27" t="s">
        <v>48</v>
      </c>
      <c r="E12" s="27" t="s">
        <v>49</v>
      </c>
      <c r="F12" s="16">
        <v>5.975</v>
      </c>
      <c r="G12" s="17">
        <v>0.57025</v>
      </c>
    </row>
    <row r="13" spans="1:7">
      <c r="A13" s="8" t="s">
        <v>50</v>
      </c>
      <c r="B13" s="9" t="s">
        <v>51</v>
      </c>
      <c r="C13" s="10">
        <v>469</v>
      </c>
      <c r="D13" s="28" t="s">
        <v>52</v>
      </c>
      <c r="E13" s="28" t="s">
        <v>53</v>
      </c>
      <c r="F13" s="28" t="s">
        <v>54</v>
      </c>
      <c r="G13" s="19">
        <v>0.4151</v>
      </c>
    </row>
    <row r="14" spans="1:7">
      <c r="A14" s="4" t="s">
        <v>55</v>
      </c>
      <c r="B14" s="5" t="s">
        <v>56</v>
      </c>
      <c r="C14" s="6">
        <v>5</v>
      </c>
      <c r="D14" s="27" t="s">
        <v>57</v>
      </c>
      <c r="E14" s="16">
        <v>0</v>
      </c>
      <c r="F14" s="27" t="s">
        <v>58</v>
      </c>
      <c r="G14" s="17">
        <v>0.09775</v>
      </c>
    </row>
    <row r="15" spans="1:7">
      <c r="A15" s="8" t="s">
        <v>59</v>
      </c>
      <c r="B15" s="9" t="s">
        <v>60</v>
      </c>
      <c r="C15" s="10">
        <v>204</v>
      </c>
      <c r="D15" s="28" t="s">
        <v>61</v>
      </c>
      <c r="E15" s="28" t="s">
        <v>62</v>
      </c>
      <c r="F15" s="28" t="s">
        <v>63</v>
      </c>
      <c r="G15" s="19">
        <v>0.73275</v>
      </c>
    </row>
    <row r="16" spans="1:7">
      <c r="A16" s="4" t="s">
        <v>64</v>
      </c>
      <c r="B16" s="5" t="s">
        <v>65</v>
      </c>
      <c r="C16" s="6">
        <v>0</v>
      </c>
      <c r="D16" s="27" t="s">
        <v>66</v>
      </c>
      <c r="E16" s="16">
        <v>0</v>
      </c>
      <c r="F16" s="16">
        <v>0</v>
      </c>
      <c r="G16" s="17">
        <v>0.3909</v>
      </c>
    </row>
    <row r="17" spans="1:7">
      <c r="A17" s="8" t="s">
        <v>67</v>
      </c>
      <c r="B17" s="9" t="s">
        <v>68</v>
      </c>
      <c r="C17" s="10">
        <v>287</v>
      </c>
      <c r="D17" s="28" t="s">
        <v>69</v>
      </c>
      <c r="E17" s="18">
        <v>0</v>
      </c>
      <c r="F17" s="18">
        <v>0</v>
      </c>
      <c r="G17" s="19">
        <v>0.35075</v>
      </c>
    </row>
    <row r="18" spans="1:7">
      <c r="A18" s="4" t="s">
        <v>70</v>
      </c>
      <c r="B18" s="5" t="s">
        <v>71</v>
      </c>
      <c r="C18" s="6">
        <v>210</v>
      </c>
      <c r="D18" s="27" t="s">
        <v>57</v>
      </c>
      <c r="E18" s="16">
        <v>0</v>
      </c>
      <c r="F18" s="27" t="s">
        <v>72</v>
      </c>
      <c r="G18" s="17">
        <v>0.2522</v>
      </c>
    </row>
    <row r="19" spans="1:7">
      <c r="A19" s="8" t="s">
        <v>73</v>
      </c>
      <c r="B19" s="9" t="s">
        <v>74</v>
      </c>
      <c r="C19" s="10">
        <v>51</v>
      </c>
      <c r="D19" s="28" t="s">
        <v>75</v>
      </c>
      <c r="E19" s="28" t="s">
        <v>76</v>
      </c>
      <c r="F19" s="18">
        <v>3.046875</v>
      </c>
      <c r="G19" s="19">
        <v>0.6942</v>
      </c>
    </row>
    <row r="20" spans="1:7">
      <c r="A20" s="4" t="s">
        <v>77</v>
      </c>
      <c r="B20" s="5" t="s">
        <v>78</v>
      </c>
      <c r="C20" s="6">
        <v>44</v>
      </c>
      <c r="D20" s="27" t="s">
        <v>79</v>
      </c>
      <c r="E20" s="16">
        <v>0</v>
      </c>
      <c r="F20" s="27" t="s">
        <v>80</v>
      </c>
      <c r="G20" s="17">
        <v>0.2605</v>
      </c>
    </row>
    <row r="21" spans="1:7">
      <c r="A21" s="8" t="s">
        <v>81</v>
      </c>
      <c r="B21" s="9" t="s">
        <v>82</v>
      </c>
      <c r="C21" s="10">
        <v>345</v>
      </c>
      <c r="D21" s="18">
        <v>0.234619140625</v>
      </c>
      <c r="E21" s="18">
        <v>0</v>
      </c>
      <c r="F21" s="28" t="s">
        <v>83</v>
      </c>
      <c r="G21" s="19">
        <v>0.29945</v>
      </c>
    </row>
    <row r="22" spans="1:7">
      <c r="A22" s="4" t="s">
        <v>84</v>
      </c>
      <c r="B22" s="5" t="s">
        <v>85</v>
      </c>
      <c r="C22" s="6">
        <v>84</v>
      </c>
      <c r="D22" s="27" t="s">
        <v>18</v>
      </c>
      <c r="E22" s="27" t="s">
        <v>86</v>
      </c>
      <c r="F22" s="16">
        <v>1.875</v>
      </c>
      <c r="G22" s="17">
        <v>0.65835</v>
      </c>
    </row>
    <row r="23" spans="1:7">
      <c r="A23" s="8" t="s">
        <v>87</v>
      </c>
      <c r="B23" s="9" t="s">
        <v>88</v>
      </c>
      <c r="C23" s="10">
        <v>0</v>
      </c>
      <c r="D23" s="28" t="s">
        <v>14</v>
      </c>
      <c r="E23" s="28" t="s">
        <v>89</v>
      </c>
      <c r="F23" s="18">
        <v>0.75</v>
      </c>
      <c r="G23" s="19">
        <v>0.639</v>
      </c>
    </row>
    <row r="24" spans="1:7">
      <c r="A24" s="4" t="s">
        <v>90</v>
      </c>
      <c r="B24" s="5" t="s">
        <v>91</v>
      </c>
      <c r="C24" s="6">
        <v>44</v>
      </c>
      <c r="D24" s="27" t="s">
        <v>92</v>
      </c>
      <c r="E24" s="27" t="s">
        <v>93</v>
      </c>
      <c r="F24" s="16">
        <v>0.45</v>
      </c>
      <c r="G24" s="17">
        <v>0.5651</v>
      </c>
    </row>
    <row r="25" spans="1:7">
      <c r="A25" s="8" t="s">
        <v>94</v>
      </c>
      <c r="B25" s="9" t="s">
        <v>95</v>
      </c>
      <c r="C25" s="10">
        <v>360</v>
      </c>
      <c r="D25" s="28" t="s">
        <v>96</v>
      </c>
      <c r="E25" s="28" t="s">
        <v>97</v>
      </c>
      <c r="F25" s="28" t="s">
        <v>29</v>
      </c>
      <c r="G25" s="19">
        <v>0.52045</v>
      </c>
    </row>
    <row r="26" spans="1:7">
      <c r="A26" s="4" t="s">
        <v>98</v>
      </c>
      <c r="B26" s="5" t="s">
        <v>99</v>
      </c>
      <c r="C26" s="6">
        <v>170</v>
      </c>
      <c r="D26" s="16">
        <v>0.19375</v>
      </c>
      <c r="E26" s="27" t="s">
        <v>100</v>
      </c>
      <c r="F26" s="16">
        <v>1</v>
      </c>
      <c r="G26" s="17">
        <v>0.6133</v>
      </c>
    </row>
    <row r="27" spans="1:7">
      <c r="A27" s="8" t="s">
        <v>101</v>
      </c>
      <c r="B27" s="9" t="s">
        <v>102</v>
      </c>
      <c r="C27" s="10">
        <v>36</v>
      </c>
      <c r="D27" s="28" t="s">
        <v>103</v>
      </c>
      <c r="E27" s="28" t="s">
        <v>104</v>
      </c>
      <c r="F27" s="18">
        <v>1.36875</v>
      </c>
      <c r="G27" s="19">
        <v>0.6157</v>
      </c>
    </row>
    <row r="28" spans="1:7">
      <c r="A28" s="4" t="s">
        <v>105</v>
      </c>
      <c r="B28" s="5" t="s">
        <v>106</v>
      </c>
      <c r="C28" s="6">
        <v>79</v>
      </c>
      <c r="D28" s="27" t="s">
        <v>69</v>
      </c>
      <c r="E28" s="27" t="s">
        <v>107</v>
      </c>
      <c r="F28" s="16">
        <v>1.36875</v>
      </c>
      <c r="G28" s="17">
        <v>0.5257</v>
      </c>
    </row>
    <row r="29" spans="1:7">
      <c r="A29" s="8" t="s">
        <v>108</v>
      </c>
      <c r="B29" s="9" t="s">
        <v>109</v>
      </c>
      <c r="C29" s="10">
        <v>97</v>
      </c>
      <c r="D29" s="28" t="s">
        <v>110</v>
      </c>
      <c r="E29" s="28" t="s">
        <v>111</v>
      </c>
      <c r="F29" s="18">
        <v>1.5</v>
      </c>
      <c r="G29" s="19">
        <v>0.687</v>
      </c>
    </row>
    <row r="30" spans="1:7">
      <c r="A30" s="4" t="s">
        <v>112</v>
      </c>
      <c r="B30" s="5" t="s">
        <v>113</v>
      </c>
      <c r="C30" s="6">
        <v>400</v>
      </c>
      <c r="D30" s="16">
        <v>0.19375</v>
      </c>
      <c r="E30" s="27" t="s">
        <v>114</v>
      </c>
      <c r="F30" s="16">
        <v>1.36875</v>
      </c>
      <c r="G30" s="17">
        <v>0.358</v>
      </c>
    </row>
    <row r="31" spans="1:7">
      <c r="A31" s="8" t="s">
        <v>115</v>
      </c>
      <c r="B31" s="9" t="s">
        <v>116</v>
      </c>
      <c r="C31" s="10">
        <v>180</v>
      </c>
      <c r="D31" s="28" t="s">
        <v>79</v>
      </c>
      <c r="E31" s="18">
        <v>0</v>
      </c>
      <c r="F31" s="18">
        <v>0</v>
      </c>
      <c r="G31" s="19">
        <v>0.08585</v>
      </c>
    </row>
    <row r="32" spans="1:7">
      <c r="A32" s="4" t="s">
        <v>117</v>
      </c>
      <c r="B32" s="5" t="s">
        <v>118</v>
      </c>
      <c r="C32" s="6">
        <v>459</v>
      </c>
      <c r="D32" s="16">
        <v>0</v>
      </c>
      <c r="E32" s="16">
        <v>0</v>
      </c>
      <c r="F32" s="27" t="s">
        <v>119</v>
      </c>
      <c r="G32" s="17">
        <v>0</v>
      </c>
    </row>
    <row r="33" spans="1:7">
      <c r="A33" s="20" t="s">
        <v>120</v>
      </c>
      <c r="B33" s="21" t="s">
        <v>121</v>
      </c>
      <c r="C33" s="10">
        <v>0</v>
      </c>
      <c r="D33" s="22">
        <v>0.24025</v>
      </c>
      <c r="E33" s="30" t="s">
        <v>122</v>
      </c>
      <c r="F33" s="22">
        <v>0</v>
      </c>
      <c r="G33" s="23">
        <v>1.07165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C2" sqref="C2:C33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15" t="s">
        <v>123</v>
      </c>
      <c r="D1" s="15" t="s">
        <v>3</v>
      </c>
      <c r="E1" s="15" t="s">
        <v>4</v>
      </c>
      <c r="F1" s="15" t="s">
        <v>5</v>
      </c>
      <c r="G1" s="3" t="s">
        <v>6</v>
      </c>
    </row>
    <row r="2" spans="1:7">
      <c r="A2" s="4" t="s">
        <v>7</v>
      </c>
      <c r="B2" s="5" t="s">
        <v>8</v>
      </c>
      <c r="C2" s="6">
        <v>252</v>
      </c>
      <c r="D2" s="27" t="s">
        <v>9</v>
      </c>
      <c r="E2" s="27" t="s">
        <v>10</v>
      </c>
      <c r="F2" s="27" t="s">
        <v>11</v>
      </c>
      <c r="G2" s="17">
        <v>0.44395</v>
      </c>
    </row>
    <row r="3" spans="1:7">
      <c r="A3" s="8" t="s">
        <v>12</v>
      </c>
      <c r="B3" s="9" t="s">
        <v>13</v>
      </c>
      <c r="C3" s="10">
        <v>217</v>
      </c>
      <c r="D3" s="28" t="s">
        <v>14</v>
      </c>
      <c r="E3" s="28" t="s">
        <v>15</v>
      </c>
      <c r="F3" s="18">
        <v>0.8</v>
      </c>
      <c r="G3" s="19">
        <v>0.58985</v>
      </c>
    </row>
    <row r="4" spans="1:7">
      <c r="A4" s="4" t="s">
        <v>16</v>
      </c>
      <c r="B4" s="5" t="s">
        <v>17</v>
      </c>
      <c r="C4" s="6">
        <v>409</v>
      </c>
      <c r="D4" s="27" t="s">
        <v>18</v>
      </c>
      <c r="E4" s="27" t="s">
        <v>19</v>
      </c>
      <c r="F4" s="16">
        <v>3.2578125</v>
      </c>
      <c r="G4" s="17">
        <v>0.66025</v>
      </c>
    </row>
    <row r="5" spans="1:7">
      <c r="A5" s="8" t="s">
        <v>20</v>
      </c>
      <c r="B5" s="9" t="s">
        <v>21</v>
      </c>
      <c r="C5" s="10">
        <v>103</v>
      </c>
      <c r="D5" s="28" t="s">
        <v>18</v>
      </c>
      <c r="E5" s="28" t="s">
        <v>22</v>
      </c>
      <c r="F5" s="18">
        <v>3.108</v>
      </c>
      <c r="G5" s="19">
        <v>0.77745</v>
      </c>
    </row>
    <row r="6" spans="1:7">
      <c r="A6" s="4" t="s">
        <v>23</v>
      </c>
      <c r="B6" s="5" t="s">
        <v>24</v>
      </c>
      <c r="C6" s="6">
        <v>145</v>
      </c>
      <c r="D6" s="27" t="s">
        <v>9</v>
      </c>
      <c r="E6" s="27" t="s">
        <v>10</v>
      </c>
      <c r="F6" s="27" t="s">
        <v>25</v>
      </c>
      <c r="G6" s="17">
        <v>0.5054</v>
      </c>
    </row>
    <row r="7" spans="1:7">
      <c r="A7" s="8" t="s">
        <v>26</v>
      </c>
      <c r="B7" s="9" t="s">
        <v>27</v>
      </c>
      <c r="C7" s="10">
        <v>494</v>
      </c>
      <c r="D7" s="28" t="s">
        <v>14</v>
      </c>
      <c r="E7" s="28" t="s">
        <v>28</v>
      </c>
      <c r="F7" s="28" t="s">
        <v>29</v>
      </c>
      <c r="G7" s="19">
        <v>0.8726</v>
      </c>
    </row>
    <row r="8" spans="1:7">
      <c r="A8" s="4" t="s">
        <v>30</v>
      </c>
      <c r="B8" s="5" t="s">
        <v>31</v>
      </c>
      <c r="C8" s="6">
        <v>17</v>
      </c>
      <c r="D8" s="27" t="s">
        <v>18</v>
      </c>
      <c r="E8" s="27" t="s">
        <v>32</v>
      </c>
      <c r="F8" s="16">
        <v>3.125</v>
      </c>
      <c r="G8" s="17">
        <v>0.7251</v>
      </c>
    </row>
    <row r="9" spans="1:7">
      <c r="A9" s="8" t="s">
        <v>33</v>
      </c>
      <c r="B9" s="9" t="s">
        <v>34</v>
      </c>
      <c r="C9" s="10">
        <v>92</v>
      </c>
      <c r="D9" s="28" t="s">
        <v>35</v>
      </c>
      <c r="E9" s="28" t="s">
        <v>36</v>
      </c>
      <c r="F9" s="18">
        <v>1.4625</v>
      </c>
      <c r="G9" s="19">
        <v>0.91305</v>
      </c>
    </row>
    <row r="10" spans="1:7">
      <c r="A10" s="4" t="s">
        <v>37</v>
      </c>
      <c r="B10" s="5" t="s">
        <v>38</v>
      </c>
      <c r="C10" s="6">
        <v>108</v>
      </c>
      <c r="D10" s="27" t="s">
        <v>39</v>
      </c>
      <c r="E10" s="27" t="s">
        <v>40</v>
      </c>
      <c r="F10" s="16">
        <v>1</v>
      </c>
      <c r="G10" s="17">
        <v>0.493</v>
      </c>
    </row>
    <row r="11" spans="1:7">
      <c r="A11" s="8" t="s">
        <v>41</v>
      </c>
      <c r="B11" s="9" t="s">
        <v>42</v>
      </c>
      <c r="C11" s="10">
        <v>70</v>
      </c>
      <c r="D11" s="28" t="s">
        <v>43</v>
      </c>
      <c r="E11" s="28" t="s">
        <v>44</v>
      </c>
      <c r="F11" s="28" t="s">
        <v>45</v>
      </c>
      <c r="G11" s="19">
        <v>0.4913</v>
      </c>
    </row>
    <row r="12" spans="1:7">
      <c r="A12" s="4" t="s">
        <v>46</v>
      </c>
      <c r="B12" s="5" t="s">
        <v>47</v>
      </c>
      <c r="C12" s="6">
        <v>19</v>
      </c>
      <c r="D12" s="27" t="s">
        <v>48</v>
      </c>
      <c r="E12" s="27" t="s">
        <v>49</v>
      </c>
      <c r="F12" s="16">
        <v>5.975</v>
      </c>
      <c r="G12" s="17">
        <v>0.57025</v>
      </c>
    </row>
    <row r="13" spans="1:7">
      <c r="A13" s="8" t="s">
        <v>50</v>
      </c>
      <c r="B13" s="9" t="s">
        <v>51</v>
      </c>
      <c r="C13" s="10">
        <v>442</v>
      </c>
      <c r="D13" s="28" t="s">
        <v>52</v>
      </c>
      <c r="E13" s="28" t="s">
        <v>53</v>
      </c>
      <c r="F13" s="28" t="s">
        <v>54</v>
      </c>
      <c r="G13" s="19">
        <v>0.4151</v>
      </c>
    </row>
    <row r="14" spans="1:7">
      <c r="A14" s="4" t="s">
        <v>55</v>
      </c>
      <c r="B14" s="5" t="s">
        <v>56</v>
      </c>
      <c r="C14" s="6">
        <v>4</v>
      </c>
      <c r="D14" s="27" t="s">
        <v>57</v>
      </c>
      <c r="E14" s="16">
        <v>0</v>
      </c>
      <c r="F14" s="27" t="s">
        <v>58</v>
      </c>
      <c r="G14" s="17">
        <v>0.09775</v>
      </c>
    </row>
    <row r="15" spans="1:7">
      <c r="A15" s="8" t="s">
        <v>59</v>
      </c>
      <c r="B15" s="9" t="s">
        <v>60</v>
      </c>
      <c r="C15" s="10">
        <v>152</v>
      </c>
      <c r="D15" s="28" t="s">
        <v>61</v>
      </c>
      <c r="E15" s="28" t="s">
        <v>62</v>
      </c>
      <c r="F15" s="28" t="s">
        <v>63</v>
      </c>
      <c r="G15" s="19">
        <v>0.73275</v>
      </c>
    </row>
    <row r="16" spans="1:7">
      <c r="A16" s="4" t="s">
        <v>64</v>
      </c>
      <c r="B16" s="5" t="s">
        <v>65</v>
      </c>
      <c r="C16" s="6">
        <v>2</v>
      </c>
      <c r="D16" s="27" t="s">
        <v>66</v>
      </c>
      <c r="E16" s="16">
        <v>0</v>
      </c>
      <c r="F16" s="16">
        <v>0</v>
      </c>
      <c r="G16" s="17">
        <v>0.3909</v>
      </c>
    </row>
    <row r="17" spans="1:7">
      <c r="A17" s="8" t="s">
        <v>67</v>
      </c>
      <c r="B17" s="9" t="s">
        <v>68</v>
      </c>
      <c r="C17" s="10">
        <v>236</v>
      </c>
      <c r="D17" s="28" t="s">
        <v>69</v>
      </c>
      <c r="E17" s="18">
        <v>0</v>
      </c>
      <c r="F17" s="18">
        <v>0</v>
      </c>
      <c r="G17" s="19">
        <v>0.35075</v>
      </c>
    </row>
    <row r="18" spans="1:7">
      <c r="A18" s="4" t="s">
        <v>70</v>
      </c>
      <c r="B18" s="5" t="s">
        <v>71</v>
      </c>
      <c r="C18" s="6">
        <v>263</v>
      </c>
      <c r="D18" s="27" t="s">
        <v>57</v>
      </c>
      <c r="E18" s="16">
        <v>0</v>
      </c>
      <c r="F18" s="27" t="s">
        <v>72</v>
      </c>
      <c r="G18" s="17">
        <v>0.2522</v>
      </c>
    </row>
    <row r="19" spans="1:7">
      <c r="A19" s="8" t="s">
        <v>73</v>
      </c>
      <c r="B19" s="9" t="s">
        <v>74</v>
      </c>
      <c r="C19" s="10">
        <v>126</v>
      </c>
      <c r="D19" s="28" t="s">
        <v>75</v>
      </c>
      <c r="E19" s="28" t="s">
        <v>76</v>
      </c>
      <c r="F19" s="18">
        <v>3.046875</v>
      </c>
      <c r="G19" s="19">
        <v>0.6942</v>
      </c>
    </row>
    <row r="20" spans="1:7">
      <c r="A20" s="4" t="s">
        <v>77</v>
      </c>
      <c r="B20" s="5" t="s">
        <v>78</v>
      </c>
      <c r="C20" s="6">
        <v>89</v>
      </c>
      <c r="D20" s="27" t="s">
        <v>79</v>
      </c>
      <c r="E20" s="16">
        <v>0</v>
      </c>
      <c r="F20" s="27" t="s">
        <v>80</v>
      </c>
      <c r="G20" s="17">
        <v>0.2605</v>
      </c>
    </row>
    <row r="21" spans="1:7">
      <c r="A21" s="8" t="s">
        <v>81</v>
      </c>
      <c r="B21" s="9" t="s">
        <v>82</v>
      </c>
      <c r="C21" s="10">
        <v>425</v>
      </c>
      <c r="D21" s="18">
        <v>0.234619140625</v>
      </c>
      <c r="E21" s="18">
        <v>0</v>
      </c>
      <c r="F21" s="28" t="s">
        <v>83</v>
      </c>
      <c r="G21" s="19">
        <v>0.29945</v>
      </c>
    </row>
    <row r="22" spans="1:7">
      <c r="A22" s="4" t="s">
        <v>84</v>
      </c>
      <c r="B22" s="5" t="s">
        <v>85</v>
      </c>
      <c r="C22" s="6">
        <v>105</v>
      </c>
      <c r="D22" s="27" t="s">
        <v>18</v>
      </c>
      <c r="E22" s="27" t="s">
        <v>86</v>
      </c>
      <c r="F22" s="16">
        <v>1.875</v>
      </c>
      <c r="G22" s="17">
        <v>0.65835</v>
      </c>
    </row>
    <row r="23" spans="1:7">
      <c r="A23" s="8" t="s">
        <v>87</v>
      </c>
      <c r="B23" s="9" t="s">
        <v>88</v>
      </c>
      <c r="C23" s="10">
        <v>0</v>
      </c>
      <c r="D23" s="28" t="s">
        <v>14</v>
      </c>
      <c r="E23" s="28" t="s">
        <v>89</v>
      </c>
      <c r="F23" s="18">
        <v>0.75</v>
      </c>
      <c r="G23" s="19">
        <v>0.639</v>
      </c>
    </row>
    <row r="24" spans="1:7">
      <c r="A24" s="4" t="s">
        <v>90</v>
      </c>
      <c r="B24" s="5" t="s">
        <v>91</v>
      </c>
      <c r="C24" s="6">
        <v>55</v>
      </c>
      <c r="D24" s="27" t="s">
        <v>92</v>
      </c>
      <c r="E24" s="27" t="s">
        <v>93</v>
      </c>
      <c r="F24" s="16">
        <v>0.45</v>
      </c>
      <c r="G24" s="17">
        <v>0.5651</v>
      </c>
    </row>
    <row r="25" spans="1:7">
      <c r="A25" s="8" t="s">
        <v>94</v>
      </c>
      <c r="B25" s="9" t="s">
        <v>95</v>
      </c>
      <c r="C25" s="10">
        <v>285</v>
      </c>
      <c r="D25" s="28" t="s">
        <v>96</v>
      </c>
      <c r="E25" s="28" t="s">
        <v>97</v>
      </c>
      <c r="F25" s="28" t="s">
        <v>29</v>
      </c>
      <c r="G25" s="19">
        <v>0.52045</v>
      </c>
    </row>
    <row r="26" spans="1:7">
      <c r="A26" s="4" t="s">
        <v>98</v>
      </c>
      <c r="B26" s="5" t="s">
        <v>99</v>
      </c>
      <c r="C26" s="6">
        <v>595</v>
      </c>
      <c r="D26" s="16">
        <v>0.19375</v>
      </c>
      <c r="E26" s="27" t="s">
        <v>100</v>
      </c>
      <c r="F26" s="16">
        <v>1</v>
      </c>
      <c r="G26" s="17">
        <v>0.6133</v>
      </c>
    </row>
    <row r="27" spans="1:7">
      <c r="A27" s="8" t="s">
        <v>101</v>
      </c>
      <c r="B27" s="9" t="s">
        <v>102</v>
      </c>
      <c r="C27" s="10">
        <v>75</v>
      </c>
      <c r="D27" s="28" t="s">
        <v>103</v>
      </c>
      <c r="E27" s="28" t="s">
        <v>104</v>
      </c>
      <c r="F27" s="18">
        <v>1.36875</v>
      </c>
      <c r="G27" s="19">
        <v>0.6157</v>
      </c>
    </row>
    <row r="28" spans="1:7">
      <c r="A28" s="4" t="s">
        <v>105</v>
      </c>
      <c r="B28" s="5" t="s">
        <v>106</v>
      </c>
      <c r="C28" s="6">
        <v>71</v>
      </c>
      <c r="D28" s="27" t="s">
        <v>69</v>
      </c>
      <c r="E28" s="27" t="s">
        <v>107</v>
      </c>
      <c r="F28" s="16">
        <v>1.36875</v>
      </c>
      <c r="G28" s="17">
        <v>0.5257</v>
      </c>
    </row>
    <row r="29" spans="1:7">
      <c r="A29" s="8" t="s">
        <v>108</v>
      </c>
      <c r="B29" s="9" t="s">
        <v>109</v>
      </c>
      <c r="C29" s="10">
        <v>82</v>
      </c>
      <c r="D29" s="28" t="s">
        <v>110</v>
      </c>
      <c r="E29" s="28" t="s">
        <v>111</v>
      </c>
      <c r="F29" s="18">
        <v>1.5</v>
      </c>
      <c r="G29" s="19">
        <v>0.687</v>
      </c>
    </row>
    <row r="30" spans="1:7">
      <c r="A30" s="4" t="s">
        <v>112</v>
      </c>
      <c r="B30" s="5" t="s">
        <v>113</v>
      </c>
      <c r="C30" s="6">
        <v>393</v>
      </c>
      <c r="D30" s="16">
        <v>0.19375</v>
      </c>
      <c r="E30" s="27" t="s">
        <v>114</v>
      </c>
      <c r="F30" s="16">
        <v>1.36875</v>
      </c>
      <c r="G30" s="17">
        <v>0.358</v>
      </c>
    </row>
    <row r="31" spans="1:7">
      <c r="A31" s="8" t="s">
        <v>115</v>
      </c>
      <c r="B31" s="9" t="s">
        <v>116</v>
      </c>
      <c r="C31" s="10">
        <v>202</v>
      </c>
      <c r="D31" s="28" t="s">
        <v>79</v>
      </c>
      <c r="E31" s="18">
        <v>0</v>
      </c>
      <c r="F31" s="18">
        <v>0</v>
      </c>
      <c r="G31" s="19">
        <v>0.08585</v>
      </c>
    </row>
    <row r="32" spans="1:7">
      <c r="A32" s="4" t="s">
        <v>117</v>
      </c>
      <c r="B32" s="5" t="s">
        <v>118</v>
      </c>
      <c r="C32" s="6">
        <v>347</v>
      </c>
      <c r="D32" s="16">
        <v>0</v>
      </c>
      <c r="E32" s="16">
        <v>0</v>
      </c>
      <c r="F32" s="27" t="s">
        <v>119</v>
      </c>
      <c r="G32" s="17">
        <v>0</v>
      </c>
    </row>
    <row r="33" spans="1:7">
      <c r="A33" s="20" t="s">
        <v>120</v>
      </c>
      <c r="B33" s="21" t="s">
        <v>121</v>
      </c>
      <c r="C33" s="10">
        <v>0</v>
      </c>
      <c r="D33" s="22">
        <v>0.24025</v>
      </c>
      <c r="E33" s="30" t="s">
        <v>122</v>
      </c>
      <c r="F33" s="22">
        <v>0</v>
      </c>
      <c r="G33" s="23">
        <v>1.07165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workbookViewId="0">
      <selection activeCell="J2" sqref="J2:J33"/>
    </sheetView>
  </sheetViews>
  <sheetFormatPr defaultColWidth="8.72727272727273" defaultRowHeight="14"/>
  <cols>
    <col min="1" max="1" width="20.8181818181818" customWidth="1"/>
    <col min="2" max="2" width="7.81818181818182" customWidth="1"/>
    <col min="3" max="8" width="12.3636363636364" customWidth="1"/>
    <col min="9" max="10" width="17.0909090909091" customWidth="1"/>
    <col min="11" max="16" width="14.7272727272727" customWidth="1"/>
    <col min="17" max="18" width="17.0909090909091" customWidth="1"/>
    <col min="19" max="19" width="14.6363636363636" customWidth="1"/>
    <col min="20" max="20" width="17" customWidth="1"/>
  </cols>
  <sheetData>
    <row r="1" spans="1:20">
      <c r="A1" s="1" t="s">
        <v>0</v>
      </c>
      <c r="B1" s="2" t="s">
        <v>1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  <c r="K1" s="2" t="s">
        <v>132</v>
      </c>
      <c r="L1" s="2" t="s">
        <v>133</v>
      </c>
      <c r="M1" s="2" t="s">
        <v>134</v>
      </c>
      <c r="N1" s="2" t="s">
        <v>135</v>
      </c>
      <c r="O1" s="2" t="s">
        <v>136</v>
      </c>
      <c r="P1" s="2" t="s">
        <v>137</v>
      </c>
      <c r="Q1" s="2" t="s">
        <v>130</v>
      </c>
      <c r="R1" s="2" t="s">
        <v>131</v>
      </c>
      <c r="S1" s="2" t="s">
        <v>2</v>
      </c>
      <c r="T1" s="3" t="s">
        <v>138</v>
      </c>
    </row>
    <row r="2" spans="1:20">
      <c r="A2" s="4" t="s">
        <v>7</v>
      </c>
      <c r="B2" s="5" t="s">
        <v>8</v>
      </c>
      <c r="C2" s="6">
        <v>99</v>
      </c>
      <c r="D2" s="6">
        <v>96</v>
      </c>
      <c r="E2" s="6">
        <v>80</v>
      </c>
      <c r="F2" s="6">
        <v>106</v>
      </c>
      <c r="G2" s="6">
        <v>75</v>
      </c>
      <c r="H2" s="6">
        <v>71</v>
      </c>
      <c r="I2" s="6">
        <v>275</v>
      </c>
      <c r="J2" s="6">
        <v>252</v>
      </c>
      <c r="K2" s="6">
        <v>13</v>
      </c>
      <c r="L2" s="6">
        <v>5</v>
      </c>
      <c r="M2" s="6">
        <v>5</v>
      </c>
      <c r="N2" s="6">
        <v>16</v>
      </c>
      <c r="O2" s="6">
        <v>9</v>
      </c>
      <c r="P2" s="6">
        <v>6</v>
      </c>
      <c r="Q2" s="6">
        <f t="shared" ref="Q2:Q11" si="0">K2+L2+M2</f>
        <v>23</v>
      </c>
      <c r="R2" s="6">
        <f t="shared" ref="R2:R11" si="1">N2+O2+P2</f>
        <v>31</v>
      </c>
      <c r="S2" s="6">
        <v>527</v>
      </c>
      <c r="T2" s="7">
        <v>54</v>
      </c>
    </row>
    <row r="3" spans="1:20">
      <c r="A3" s="8" t="s">
        <v>12</v>
      </c>
      <c r="B3" s="9" t="s">
        <v>13</v>
      </c>
      <c r="C3" s="10">
        <v>75</v>
      </c>
      <c r="D3" s="10">
        <v>68</v>
      </c>
      <c r="E3" s="10">
        <v>66</v>
      </c>
      <c r="F3" s="10">
        <v>75</v>
      </c>
      <c r="G3" s="10">
        <v>63</v>
      </c>
      <c r="H3" s="10">
        <v>79</v>
      </c>
      <c r="I3" s="10">
        <v>209</v>
      </c>
      <c r="J3" s="10">
        <v>217</v>
      </c>
      <c r="K3" s="10">
        <v>5</v>
      </c>
      <c r="L3" s="10">
        <v>3</v>
      </c>
      <c r="M3" s="10">
        <v>3</v>
      </c>
      <c r="N3" s="10">
        <v>7</v>
      </c>
      <c r="O3" s="10">
        <v>5</v>
      </c>
      <c r="P3" s="10">
        <v>6</v>
      </c>
      <c r="Q3" s="10">
        <f t="shared" si="0"/>
        <v>11</v>
      </c>
      <c r="R3" s="10">
        <f t="shared" si="1"/>
        <v>18</v>
      </c>
      <c r="S3" s="10">
        <v>426</v>
      </c>
      <c r="T3" s="11">
        <v>29</v>
      </c>
    </row>
    <row r="4" spans="1:20">
      <c r="A4" s="4" t="s">
        <v>16</v>
      </c>
      <c r="B4" s="5" t="s">
        <v>17</v>
      </c>
      <c r="C4" s="6">
        <v>194</v>
      </c>
      <c r="D4" s="6">
        <v>163</v>
      </c>
      <c r="E4" s="6">
        <v>160</v>
      </c>
      <c r="F4" s="6">
        <v>139</v>
      </c>
      <c r="G4" s="6">
        <v>127</v>
      </c>
      <c r="H4" s="6">
        <v>143</v>
      </c>
      <c r="I4" s="6">
        <v>517</v>
      </c>
      <c r="J4" s="6">
        <v>409</v>
      </c>
      <c r="K4" s="6">
        <v>23</v>
      </c>
      <c r="L4" s="6">
        <v>20</v>
      </c>
      <c r="M4" s="6">
        <v>31</v>
      </c>
      <c r="N4" s="6">
        <v>21</v>
      </c>
      <c r="O4" s="6">
        <v>18</v>
      </c>
      <c r="P4" s="6">
        <v>29</v>
      </c>
      <c r="Q4" s="6">
        <f t="shared" si="0"/>
        <v>74</v>
      </c>
      <c r="R4" s="6">
        <f t="shared" si="1"/>
        <v>68</v>
      </c>
      <c r="S4" s="6">
        <v>926</v>
      </c>
      <c r="T4" s="7">
        <v>142</v>
      </c>
    </row>
    <row r="5" spans="1:20">
      <c r="A5" s="8" t="s">
        <v>20</v>
      </c>
      <c r="B5" s="9" t="s">
        <v>21</v>
      </c>
      <c r="C5" s="10">
        <v>21</v>
      </c>
      <c r="D5" s="10">
        <v>28</v>
      </c>
      <c r="E5" s="10">
        <v>15</v>
      </c>
      <c r="F5" s="10">
        <v>40</v>
      </c>
      <c r="G5" s="10">
        <v>36</v>
      </c>
      <c r="H5" s="10">
        <v>27</v>
      </c>
      <c r="I5" s="10">
        <v>64</v>
      </c>
      <c r="J5" s="10">
        <v>103</v>
      </c>
      <c r="K5" s="10">
        <v>4</v>
      </c>
      <c r="L5" s="10">
        <v>2</v>
      </c>
      <c r="M5" s="10">
        <v>2</v>
      </c>
      <c r="N5" s="10">
        <v>6</v>
      </c>
      <c r="O5" s="10">
        <v>12</v>
      </c>
      <c r="P5" s="10">
        <v>6</v>
      </c>
      <c r="Q5" s="10">
        <f t="shared" si="0"/>
        <v>8</v>
      </c>
      <c r="R5" s="10">
        <f t="shared" si="1"/>
        <v>24</v>
      </c>
      <c r="S5" s="10">
        <v>167</v>
      </c>
      <c r="T5" s="11">
        <v>32</v>
      </c>
    </row>
    <row r="6" spans="1:20">
      <c r="A6" s="4" t="s">
        <v>23</v>
      </c>
      <c r="B6" s="5" t="s">
        <v>24</v>
      </c>
      <c r="C6" s="6">
        <v>34</v>
      </c>
      <c r="D6" s="6">
        <v>37</v>
      </c>
      <c r="E6" s="6">
        <v>51</v>
      </c>
      <c r="F6" s="6">
        <v>39</v>
      </c>
      <c r="G6" s="6">
        <v>53</v>
      </c>
      <c r="H6" s="6">
        <v>53</v>
      </c>
      <c r="I6" s="6">
        <v>122</v>
      </c>
      <c r="J6" s="6">
        <v>145</v>
      </c>
      <c r="K6" s="6">
        <v>0</v>
      </c>
      <c r="L6" s="6">
        <v>1</v>
      </c>
      <c r="M6" s="6">
        <v>1</v>
      </c>
      <c r="N6" s="6">
        <v>2</v>
      </c>
      <c r="O6" s="6">
        <v>2</v>
      </c>
      <c r="P6" s="6">
        <v>4</v>
      </c>
      <c r="Q6" s="6">
        <f t="shared" si="0"/>
        <v>2</v>
      </c>
      <c r="R6" s="6">
        <f t="shared" si="1"/>
        <v>8</v>
      </c>
      <c r="S6" s="6">
        <v>267</v>
      </c>
      <c r="T6" s="7">
        <v>10</v>
      </c>
    </row>
    <row r="7" spans="1:20">
      <c r="A7" s="8" t="s">
        <v>26</v>
      </c>
      <c r="B7" s="9" t="s">
        <v>27</v>
      </c>
      <c r="C7" s="10">
        <v>159</v>
      </c>
      <c r="D7" s="10">
        <v>179</v>
      </c>
      <c r="E7" s="10">
        <v>183</v>
      </c>
      <c r="F7" s="10">
        <v>151</v>
      </c>
      <c r="G7" s="10">
        <v>168</v>
      </c>
      <c r="H7" s="10">
        <v>175</v>
      </c>
      <c r="I7" s="10">
        <v>521</v>
      </c>
      <c r="J7" s="10">
        <v>494</v>
      </c>
      <c r="K7" s="10">
        <v>20</v>
      </c>
      <c r="L7" s="10">
        <v>18</v>
      </c>
      <c r="M7" s="10">
        <v>26</v>
      </c>
      <c r="N7" s="10">
        <v>21</v>
      </c>
      <c r="O7" s="10">
        <v>25</v>
      </c>
      <c r="P7" s="10">
        <v>28</v>
      </c>
      <c r="Q7" s="10">
        <f t="shared" si="0"/>
        <v>64</v>
      </c>
      <c r="R7" s="10">
        <f t="shared" si="1"/>
        <v>74</v>
      </c>
      <c r="S7" s="10">
        <v>1015</v>
      </c>
      <c r="T7" s="11">
        <v>138</v>
      </c>
    </row>
    <row r="8" spans="1:20">
      <c r="A8" s="4" t="s">
        <v>30</v>
      </c>
      <c r="B8" s="5" t="s">
        <v>31</v>
      </c>
      <c r="C8" s="6">
        <v>5</v>
      </c>
      <c r="D8" s="6">
        <v>4</v>
      </c>
      <c r="E8" s="6">
        <v>4</v>
      </c>
      <c r="F8" s="6">
        <v>4</v>
      </c>
      <c r="G8" s="6">
        <v>6</v>
      </c>
      <c r="H8" s="6">
        <v>7</v>
      </c>
      <c r="I8" s="6">
        <v>13</v>
      </c>
      <c r="J8" s="6">
        <v>17</v>
      </c>
      <c r="K8" s="6">
        <v>0</v>
      </c>
      <c r="L8" s="6">
        <v>2</v>
      </c>
      <c r="M8" s="6">
        <v>2</v>
      </c>
      <c r="N8" s="6">
        <v>0</v>
      </c>
      <c r="O8" s="6">
        <v>2</v>
      </c>
      <c r="P8" s="6">
        <v>0</v>
      </c>
      <c r="Q8" s="6">
        <f t="shared" si="0"/>
        <v>4</v>
      </c>
      <c r="R8" s="6">
        <f t="shared" si="1"/>
        <v>2</v>
      </c>
      <c r="S8" s="6">
        <v>30</v>
      </c>
      <c r="T8" s="7">
        <v>6</v>
      </c>
    </row>
    <row r="9" spans="1:20">
      <c r="A9" s="8" t="s">
        <v>33</v>
      </c>
      <c r="B9" s="9" t="s">
        <v>34</v>
      </c>
      <c r="C9" s="10">
        <v>11</v>
      </c>
      <c r="D9" s="10">
        <v>25</v>
      </c>
      <c r="E9" s="10">
        <v>34</v>
      </c>
      <c r="F9" s="10">
        <v>22</v>
      </c>
      <c r="G9" s="10">
        <v>33</v>
      </c>
      <c r="H9" s="10">
        <v>37</v>
      </c>
      <c r="I9" s="10">
        <v>70</v>
      </c>
      <c r="J9" s="10">
        <v>92</v>
      </c>
      <c r="K9" s="10">
        <v>1</v>
      </c>
      <c r="L9" s="10">
        <v>6</v>
      </c>
      <c r="M9" s="10">
        <v>3</v>
      </c>
      <c r="N9" s="10">
        <v>4</v>
      </c>
      <c r="O9" s="10">
        <v>9</v>
      </c>
      <c r="P9" s="10">
        <v>12</v>
      </c>
      <c r="Q9" s="10">
        <f t="shared" si="0"/>
        <v>10</v>
      </c>
      <c r="R9" s="10">
        <f t="shared" si="1"/>
        <v>25</v>
      </c>
      <c r="S9" s="10">
        <v>162</v>
      </c>
      <c r="T9" s="11">
        <v>35</v>
      </c>
    </row>
    <row r="10" spans="1:20">
      <c r="A10" s="4" t="s">
        <v>37</v>
      </c>
      <c r="B10" s="5" t="s">
        <v>38</v>
      </c>
      <c r="C10" s="6">
        <v>11</v>
      </c>
      <c r="D10" s="6">
        <v>16</v>
      </c>
      <c r="E10" s="6">
        <v>29</v>
      </c>
      <c r="F10" s="6">
        <v>42</v>
      </c>
      <c r="G10" s="6">
        <v>29</v>
      </c>
      <c r="H10" s="6">
        <v>37</v>
      </c>
      <c r="I10" s="6">
        <v>56</v>
      </c>
      <c r="J10" s="6">
        <v>108</v>
      </c>
      <c r="K10" s="6">
        <v>1</v>
      </c>
      <c r="L10" s="6">
        <v>0</v>
      </c>
      <c r="M10" s="6">
        <v>1</v>
      </c>
      <c r="N10" s="6">
        <v>2</v>
      </c>
      <c r="O10" s="6">
        <v>1</v>
      </c>
      <c r="P10" s="6">
        <v>3</v>
      </c>
      <c r="Q10" s="6">
        <f t="shared" si="0"/>
        <v>2</v>
      </c>
      <c r="R10" s="6">
        <f t="shared" si="1"/>
        <v>6</v>
      </c>
      <c r="S10" s="6">
        <v>164</v>
      </c>
      <c r="T10" s="7">
        <v>8</v>
      </c>
    </row>
    <row r="11" spans="1:20">
      <c r="A11" s="8" t="s">
        <v>41</v>
      </c>
      <c r="B11" s="9" t="s">
        <v>42</v>
      </c>
      <c r="C11" s="10">
        <v>25</v>
      </c>
      <c r="D11" s="10">
        <v>18</v>
      </c>
      <c r="E11" s="10">
        <v>15</v>
      </c>
      <c r="F11" s="10">
        <v>28</v>
      </c>
      <c r="G11" s="10">
        <v>26</v>
      </c>
      <c r="H11" s="10">
        <v>16</v>
      </c>
      <c r="I11" s="10">
        <v>58</v>
      </c>
      <c r="J11" s="10">
        <v>70</v>
      </c>
      <c r="K11" s="10">
        <v>5</v>
      </c>
      <c r="L11" s="10">
        <v>3</v>
      </c>
      <c r="M11" s="10">
        <v>5</v>
      </c>
      <c r="N11" s="10">
        <v>4</v>
      </c>
      <c r="O11" s="10">
        <v>9</v>
      </c>
      <c r="P11" s="10">
        <v>1</v>
      </c>
      <c r="Q11" s="10">
        <f t="shared" si="0"/>
        <v>13</v>
      </c>
      <c r="R11" s="10">
        <f t="shared" si="1"/>
        <v>14</v>
      </c>
      <c r="S11" s="10">
        <v>128</v>
      </c>
      <c r="T11" s="11">
        <v>27</v>
      </c>
    </row>
    <row r="12" spans="1:20">
      <c r="A12" s="4" t="s">
        <v>46</v>
      </c>
      <c r="B12" s="5" t="s">
        <v>47</v>
      </c>
      <c r="C12" s="6">
        <v>3</v>
      </c>
      <c r="D12" s="6">
        <v>2</v>
      </c>
      <c r="E12" s="6">
        <v>1</v>
      </c>
      <c r="F12" s="6">
        <v>9</v>
      </c>
      <c r="G12" s="6">
        <v>5</v>
      </c>
      <c r="H12" s="6">
        <v>5</v>
      </c>
      <c r="I12" s="6">
        <v>6</v>
      </c>
      <c r="J12" s="6">
        <v>19</v>
      </c>
      <c r="K12" s="6">
        <v>2</v>
      </c>
      <c r="L12" s="6">
        <v>2</v>
      </c>
      <c r="M12" s="6">
        <v>0</v>
      </c>
      <c r="N12" s="6">
        <v>4</v>
      </c>
      <c r="O12" s="6">
        <v>5</v>
      </c>
      <c r="P12" s="6">
        <v>4</v>
      </c>
      <c r="Q12" s="6">
        <f t="shared" ref="Q12:Q35" si="2">K12+L12+M12</f>
        <v>4</v>
      </c>
      <c r="R12" s="6">
        <f t="shared" ref="R12:R35" si="3">N12+O12+P12</f>
        <v>13</v>
      </c>
      <c r="S12" s="6">
        <v>25</v>
      </c>
      <c r="T12" s="7">
        <v>17</v>
      </c>
    </row>
    <row r="13" spans="1:20">
      <c r="A13" s="8" t="s">
        <v>50</v>
      </c>
      <c r="B13" s="9" t="s">
        <v>51</v>
      </c>
      <c r="C13" s="10">
        <v>149</v>
      </c>
      <c r="D13" s="10">
        <v>151</v>
      </c>
      <c r="E13" s="10">
        <v>169</v>
      </c>
      <c r="F13" s="10">
        <v>168</v>
      </c>
      <c r="G13" s="10">
        <v>129</v>
      </c>
      <c r="H13" s="10">
        <v>145</v>
      </c>
      <c r="I13" s="10">
        <v>469</v>
      </c>
      <c r="J13" s="10">
        <v>442</v>
      </c>
      <c r="K13" s="10">
        <v>31</v>
      </c>
      <c r="L13" s="10">
        <v>37</v>
      </c>
      <c r="M13" s="10">
        <v>46</v>
      </c>
      <c r="N13" s="10">
        <v>44</v>
      </c>
      <c r="O13" s="10">
        <v>33</v>
      </c>
      <c r="P13" s="10">
        <v>43</v>
      </c>
      <c r="Q13" s="10">
        <f t="shared" si="2"/>
        <v>114</v>
      </c>
      <c r="R13" s="10">
        <f t="shared" si="3"/>
        <v>120</v>
      </c>
      <c r="S13" s="10">
        <v>911</v>
      </c>
      <c r="T13" s="11">
        <v>234</v>
      </c>
    </row>
    <row r="14" spans="1:20">
      <c r="A14" s="4" t="s">
        <v>55</v>
      </c>
      <c r="B14" s="5" t="s">
        <v>56</v>
      </c>
      <c r="C14" s="6">
        <v>3</v>
      </c>
      <c r="D14" s="6">
        <v>1</v>
      </c>
      <c r="E14" s="6">
        <v>1</v>
      </c>
      <c r="F14" s="6">
        <v>2</v>
      </c>
      <c r="G14" s="6">
        <v>0</v>
      </c>
      <c r="H14" s="6">
        <v>2</v>
      </c>
      <c r="I14" s="6">
        <v>5</v>
      </c>
      <c r="J14" s="6">
        <v>4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1</v>
      </c>
      <c r="Q14" s="6">
        <f t="shared" si="2"/>
        <v>0</v>
      </c>
      <c r="R14" s="6">
        <f t="shared" si="3"/>
        <v>1</v>
      </c>
      <c r="S14" s="6">
        <v>9</v>
      </c>
      <c r="T14" s="7">
        <v>1</v>
      </c>
    </row>
    <row r="15" spans="1:20">
      <c r="A15" s="8" t="s">
        <v>59</v>
      </c>
      <c r="B15" s="9" t="s">
        <v>60</v>
      </c>
      <c r="C15" s="10">
        <v>65</v>
      </c>
      <c r="D15" s="10">
        <v>71</v>
      </c>
      <c r="E15" s="10">
        <v>68</v>
      </c>
      <c r="F15" s="10">
        <v>49</v>
      </c>
      <c r="G15" s="10">
        <v>59</v>
      </c>
      <c r="H15" s="10">
        <v>44</v>
      </c>
      <c r="I15" s="10">
        <v>204</v>
      </c>
      <c r="J15" s="10">
        <v>152</v>
      </c>
      <c r="K15" s="10">
        <v>14</v>
      </c>
      <c r="L15" s="10">
        <v>15</v>
      </c>
      <c r="M15" s="10">
        <v>9</v>
      </c>
      <c r="N15" s="10">
        <v>16</v>
      </c>
      <c r="O15" s="10">
        <v>13</v>
      </c>
      <c r="P15" s="10">
        <v>8</v>
      </c>
      <c r="Q15" s="10">
        <f t="shared" si="2"/>
        <v>38</v>
      </c>
      <c r="R15" s="10">
        <f t="shared" si="3"/>
        <v>37</v>
      </c>
      <c r="S15" s="10">
        <v>356</v>
      </c>
      <c r="T15" s="11">
        <v>75</v>
      </c>
    </row>
    <row r="16" spans="1:20">
      <c r="A16" s="4" t="s">
        <v>64</v>
      </c>
      <c r="B16" s="5" t="s">
        <v>65</v>
      </c>
      <c r="C16" s="6">
        <v>0</v>
      </c>
      <c r="D16" s="6">
        <v>0</v>
      </c>
      <c r="E16" s="6">
        <v>0</v>
      </c>
      <c r="F16" s="6">
        <v>1</v>
      </c>
      <c r="G16" s="6">
        <v>1</v>
      </c>
      <c r="H16" s="6">
        <v>0</v>
      </c>
      <c r="I16" s="6">
        <v>0</v>
      </c>
      <c r="J16" s="6">
        <v>2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f t="shared" si="2"/>
        <v>0</v>
      </c>
      <c r="R16" s="6">
        <f t="shared" si="3"/>
        <v>0</v>
      </c>
      <c r="S16" s="6">
        <v>2</v>
      </c>
      <c r="T16" s="7">
        <v>0</v>
      </c>
    </row>
    <row r="17" spans="1:20">
      <c r="A17" s="8" t="s">
        <v>67</v>
      </c>
      <c r="B17" s="9" t="s">
        <v>68</v>
      </c>
      <c r="C17" s="10">
        <v>97</v>
      </c>
      <c r="D17" s="10">
        <v>96</v>
      </c>
      <c r="E17" s="10">
        <v>94</v>
      </c>
      <c r="F17" s="10">
        <v>82</v>
      </c>
      <c r="G17" s="10">
        <v>81</v>
      </c>
      <c r="H17" s="10">
        <v>73</v>
      </c>
      <c r="I17" s="10">
        <v>287</v>
      </c>
      <c r="J17" s="10">
        <v>236</v>
      </c>
      <c r="K17" s="10">
        <v>8</v>
      </c>
      <c r="L17" s="10">
        <v>16</v>
      </c>
      <c r="M17" s="10">
        <v>22</v>
      </c>
      <c r="N17" s="10">
        <v>14</v>
      </c>
      <c r="O17" s="10">
        <v>19</v>
      </c>
      <c r="P17" s="10">
        <v>18</v>
      </c>
      <c r="Q17" s="10">
        <f t="shared" si="2"/>
        <v>46</v>
      </c>
      <c r="R17" s="10">
        <f t="shared" si="3"/>
        <v>51</v>
      </c>
      <c r="S17" s="10">
        <v>523</v>
      </c>
      <c r="T17" s="11">
        <v>97</v>
      </c>
    </row>
    <row r="18" spans="1:20">
      <c r="A18" s="4" t="s">
        <v>70</v>
      </c>
      <c r="B18" s="5" t="s">
        <v>71</v>
      </c>
      <c r="C18" s="6">
        <v>65</v>
      </c>
      <c r="D18" s="6">
        <v>78</v>
      </c>
      <c r="E18" s="6">
        <v>67</v>
      </c>
      <c r="F18" s="6">
        <v>83</v>
      </c>
      <c r="G18" s="6">
        <v>85</v>
      </c>
      <c r="H18" s="6">
        <v>95</v>
      </c>
      <c r="I18" s="6">
        <v>210</v>
      </c>
      <c r="J18" s="6">
        <v>263</v>
      </c>
      <c r="K18" s="6">
        <v>9</v>
      </c>
      <c r="L18" s="6">
        <v>11</v>
      </c>
      <c r="M18" s="6">
        <v>13</v>
      </c>
      <c r="N18" s="6">
        <v>11</v>
      </c>
      <c r="O18" s="6">
        <v>17</v>
      </c>
      <c r="P18" s="6">
        <v>19</v>
      </c>
      <c r="Q18" s="6">
        <f t="shared" si="2"/>
        <v>33</v>
      </c>
      <c r="R18" s="6">
        <f t="shared" si="3"/>
        <v>47</v>
      </c>
      <c r="S18" s="6">
        <v>473</v>
      </c>
      <c r="T18" s="7">
        <v>80</v>
      </c>
    </row>
    <row r="19" spans="1:20">
      <c r="A19" s="8" t="s">
        <v>73</v>
      </c>
      <c r="B19" s="9" t="s">
        <v>74</v>
      </c>
      <c r="C19" s="10">
        <v>16</v>
      </c>
      <c r="D19" s="10">
        <v>14</v>
      </c>
      <c r="E19" s="10">
        <v>21</v>
      </c>
      <c r="F19" s="10">
        <v>36</v>
      </c>
      <c r="G19" s="10">
        <v>52</v>
      </c>
      <c r="H19" s="10">
        <v>38</v>
      </c>
      <c r="I19" s="10">
        <v>51</v>
      </c>
      <c r="J19" s="10">
        <v>126</v>
      </c>
      <c r="K19" s="10">
        <v>1</v>
      </c>
      <c r="L19" s="10">
        <v>0</v>
      </c>
      <c r="M19" s="10">
        <v>0</v>
      </c>
      <c r="N19" s="10">
        <v>0</v>
      </c>
      <c r="O19" s="10">
        <v>4</v>
      </c>
      <c r="P19" s="10">
        <v>1</v>
      </c>
      <c r="Q19" s="10">
        <f t="shared" si="2"/>
        <v>1</v>
      </c>
      <c r="R19" s="10">
        <f t="shared" si="3"/>
        <v>5</v>
      </c>
      <c r="S19" s="10">
        <v>177</v>
      </c>
      <c r="T19" s="11">
        <v>6</v>
      </c>
    </row>
    <row r="20" spans="1:20">
      <c r="A20" s="4" t="s">
        <v>77</v>
      </c>
      <c r="B20" s="5" t="s">
        <v>78</v>
      </c>
      <c r="C20" s="6">
        <v>15</v>
      </c>
      <c r="D20" s="6">
        <v>13</v>
      </c>
      <c r="E20" s="6">
        <v>16</v>
      </c>
      <c r="F20" s="6">
        <v>25</v>
      </c>
      <c r="G20" s="6">
        <v>38</v>
      </c>
      <c r="H20" s="6">
        <v>26</v>
      </c>
      <c r="I20" s="6">
        <v>44</v>
      </c>
      <c r="J20" s="6">
        <v>89</v>
      </c>
      <c r="K20" s="6">
        <v>2</v>
      </c>
      <c r="L20" s="6">
        <v>0</v>
      </c>
      <c r="M20" s="6">
        <v>1</v>
      </c>
      <c r="N20" s="6">
        <v>4</v>
      </c>
      <c r="O20" s="6">
        <v>5</v>
      </c>
      <c r="P20" s="6">
        <v>8</v>
      </c>
      <c r="Q20" s="6">
        <f t="shared" si="2"/>
        <v>3</v>
      </c>
      <c r="R20" s="6">
        <f t="shared" si="3"/>
        <v>17</v>
      </c>
      <c r="S20" s="6">
        <v>133</v>
      </c>
      <c r="T20" s="7">
        <v>20</v>
      </c>
    </row>
    <row r="21" spans="1:20">
      <c r="A21" s="8" t="s">
        <v>81</v>
      </c>
      <c r="B21" s="9" t="s">
        <v>82</v>
      </c>
      <c r="C21" s="10">
        <v>120</v>
      </c>
      <c r="D21" s="10">
        <v>102</v>
      </c>
      <c r="E21" s="10">
        <v>123</v>
      </c>
      <c r="F21" s="10">
        <v>156</v>
      </c>
      <c r="G21" s="10">
        <v>136</v>
      </c>
      <c r="H21" s="10">
        <v>133</v>
      </c>
      <c r="I21" s="10">
        <v>345</v>
      </c>
      <c r="J21" s="10">
        <v>425</v>
      </c>
      <c r="K21" s="10">
        <v>14</v>
      </c>
      <c r="L21" s="10">
        <v>8</v>
      </c>
      <c r="M21" s="10">
        <v>9</v>
      </c>
      <c r="N21" s="10">
        <v>22</v>
      </c>
      <c r="O21" s="10">
        <v>11</v>
      </c>
      <c r="P21" s="10">
        <v>22</v>
      </c>
      <c r="Q21" s="10">
        <f t="shared" si="2"/>
        <v>31</v>
      </c>
      <c r="R21" s="10">
        <f t="shared" si="3"/>
        <v>55</v>
      </c>
      <c r="S21" s="10">
        <v>770</v>
      </c>
      <c r="T21" s="11">
        <v>86</v>
      </c>
    </row>
    <row r="22" spans="1:20">
      <c r="A22" s="4" t="s">
        <v>84</v>
      </c>
      <c r="B22" s="5" t="s">
        <v>85</v>
      </c>
      <c r="C22" s="6">
        <v>33</v>
      </c>
      <c r="D22" s="6">
        <v>31</v>
      </c>
      <c r="E22" s="6">
        <v>20</v>
      </c>
      <c r="F22" s="6">
        <v>36</v>
      </c>
      <c r="G22" s="6">
        <v>37</v>
      </c>
      <c r="H22" s="6">
        <v>32</v>
      </c>
      <c r="I22" s="6">
        <v>84</v>
      </c>
      <c r="J22" s="6">
        <v>105</v>
      </c>
      <c r="K22" s="6">
        <v>2</v>
      </c>
      <c r="L22" s="6">
        <v>1</v>
      </c>
      <c r="M22" s="6">
        <v>1</v>
      </c>
      <c r="N22" s="6">
        <v>2</v>
      </c>
      <c r="O22" s="6">
        <v>2</v>
      </c>
      <c r="P22" s="6">
        <v>2</v>
      </c>
      <c r="Q22" s="6">
        <f t="shared" si="2"/>
        <v>4</v>
      </c>
      <c r="R22" s="6">
        <f t="shared" si="3"/>
        <v>6</v>
      </c>
      <c r="S22" s="6">
        <v>189</v>
      </c>
      <c r="T22" s="7">
        <v>10</v>
      </c>
    </row>
    <row r="23" spans="1:20">
      <c r="A23" s="8" t="s">
        <v>87</v>
      </c>
      <c r="B23" s="9" t="s">
        <v>88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f t="shared" si="2"/>
        <v>0</v>
      </c>
      <c r="R23" s="10">
        <f t="shared" si="3"/>
        <v>0</v>
      </c>
      <c r="S23" s="10">
        <v>0</v>
      </c>
      <c r="T23" s="11">
        <v>0</v>
      </c>
    </row>
    <row r="24" spans="1:20">
      <c r="A24" s="4" t="s">
        <v>90</v>
      </c>
      <c r="B24" s="5" t="s">
        <v>91</v>
      </c>
      <c r="C24" s="6">
        <v>13</v>
      </c>
      <c r="D24" s="6">
        <v>12</v>
      </c>
      <c r="E24" s="6">
        <v>19</v>
      </c>
      <c r="F24" s="6">
        <v>19</v>
      </c>
      <c r="G24" s="6">
        <v>13</v>
      </c>
      <c r="H24" s="6">
        <v>23</v>
      </c>
      <c r="I24" s="6">
        <v>44</v>
      </c>
      <c r="J24" s="6">
        <v>55</v>
      </c>
      <c r="K24" s="6">
        <v>3</v>
      </c>
      <c r="L24" s="6">
        <v>0</v>
      </c>
      <c r="M24" s="6">
        <v>0</v>
      </c>
      <c r="N24" s="6">
        <v>1</v>
      </c>
      <c r="O24" s="6">
        <v>1</v>
      </c>
      <c r="P24" s="6">
        <v>2</v>
      </c>
      <c r="Q24" s="6">
        <f t="shared" si="2"/>
        <v>3</v>
      </c>
      <c r="R24" s="6">
        <f t="shared" si="3"/>
        <v>4</v>
      </c>
      <c r="S24" s="6">
        <v>99</v>
      </c>
      <c r="T24" s="7">
        <v>7</v>
      </c>
    </row>
    <row r="25" spans="1:20">
      <c r="A25" s="8" t="s">
        <v>94</v>
      </c>
      <c r="B25" s="9" t="s">
        <v>95</v>
      </c>
      <c r="C25" s="10">
        <v>121</v>
      </c>
      <c r="D25" s="10">
        <v>112</v>
      </c>
      <c r="E25" s="10">
        <v>127</v>
      </c>
      <c r="F25" s="10">
        <v>88</v>
      </c>
      <c r="G25" s="10">
        <v>89</v>
      </c>
      <c r="H25" s="10">
        <v>108</v>
      </c>
      <c r="I25" s="10">
        <v>360</v>
      </c>
      <c r="J25" s="10">
        <v>285</v>
      </c>
      <c r="K25" s="10">
        <v>15</v>
      </c>
      <c r="L25" s="10">
        <v>12</v>
      </c>
      <c r="M25" s="10">
        <v>21</v>
      </c>
      <c r="N25" s="10">
        <v>22</v>
      </c>
      <c r="O25" s="10">
        <v>21</v>
      </c>
      <c r="P25" s="10">
        <v>29</v>
      </c>
      <c r="Q25" s="10">
        <f t="shared" si="2"/>
        <v>48</v>
      </c>
      <c r="R25" s="10">
        <f t="shared" si="3"/>
        <v>72</v>
      </c>
      <c r="S25" s="10">
        <v>645</v>
      </c>
      <c r="T25" s="11">
        <v>120</v>
      </c>
    </row>
    <row r="26" spans="1:20">
      <c r="A26" s="4" t="s">
        <v>98</v>
      </c>
      <c r="B26" s="5" t="s">
        <v>99</v>
      </c>
      <c r="C26" s="6">
        <v>59</v>
      </c>
      <c r="D26" s="6">
        <v>59</v>
      </c>
      <c r="E26" s="6">
        <v>52</v>
      </c>
      <c r="F26" s="6">
        <v>177</v>
      </c>
      <c r="G26" s="6">
        <v>196</v>
      </c>
      <c r="H26" s="6">
        <v>222</v>
      </c>
      <c r="I26" s="6">
        <v>170</v>
      </c>
      <c r="J26" s="6">
        <v>595</v>
      </c>
      <c r="K26" s="6">
        <v>3</v>
      </c>
      <c r="L26" s="6">
        <v>7</v>
      </c>
      <c r="M26" s="6">
        <v>3</v>
      </c>
      <c r="N26" s="6">
        <v>42</v>
      </c>
      <c r="O26" s="6">
        <v>40</v>
      </c>
      <c r="P26" s="6">
        <v>55</v>
      </c>
      <c r="Q26" s="6">
        <f t="shared" si="2"/>
        <v>13</v>
      </c>
      <c r="R26" s="6">
        <f t="shared" si="3"/>
        <v>137</v>
      </c>
      <c r="S26" s="6">
        <v>765</v>
      </c>
      <c r="T26" s="7">
        <v>150</v>
      </c>
    </row>
    <row r="27" spans="1:20">
      <c r="A27" s="8" t="s">
        <v>101</v>
      </c>
      <c r="B27" s="9" t="s">
        <v>102</v>
      </c>
      <c r="C27" s="10">
        <v>5</v>
      </c>
      <c r="D27" s="10">
        <v>13</v>
      </c>
      <c r="E27" s="10">
        <v>18</v>
      </c>
      <c r="F27" s="10">
        <v>18</v>
      </c>
      <c r="G27" s="10">
        <v>22</v>
      </c>
      <c r="H27" s="10">
        <v>35</v>
      </c>
      <c r="I27" s="10">
        <v>36</v>
      </c>
      <c r="J27" s="10">
        <v>75</v>
      </c>
      <c r="K27" s="10">
        <v>0</v>
      </c>
      <c r="L27" s="10">
        <v>2</v>
      </c>
      <c r="M27" s="10">
        <v>4</v>
      </c>
      <c r="N27" s="10">
        <v>9</v>
      </c>
      <c r="O27" s="10">
        <v>6</v>
      </c>
      <c r="P27" s="10">
        <v>3</v>
      </c>
      <c r="Q27" s="10">
        <f t="shared" si="2"/>
        <v>6</v>
      </c>
      <c r="R27" s="10">
        <f t="shared" si="3"/>
        <v>18</v>
      </c>
      <c r="S27" s="10">
        <v>111</v>
      </c>
      <c r="T27" s="11">
        <v>24</v>
      </c>
    </row>
    <row r="28" spans="1:20">
      <c r="A28" s="4" t="s">
        <v>105</v>
      </c>
      <c r="B28" s="5" t="s">
        <v>106</v>
      </c>
      <c r="C28" s="6">
        <v>25</v>
      </c>
      <c r="D28" s="6">
        <v>31</v>
      </c>
      <c r="E28" s="6">
        <v>23</v>
      </c>
      <c r="F28" s="6">
        <v>21</v>
      </c>
      <c r="G28" s="6">
        <v>26</v>
      </c>
      <c r="H28" s="6">
        <v>24</v>
      </c>
      <c r="I28" s="6">
        <v>79</v>
      </c>
      <c r="J28" s="6">
        <v>71</v>
      </c>
      <c r="K28" s="6">
        <v>2</v>
      </c>
      <c r="L28" s="6">
        <v>4</v>
      </c>
      <c r="M28" s="6">
        <v>1</v>
      </c>
      <c r="N28" s="6">
        <v>4</v>
      </c>
      <c r="O28" s="6">
        <v>5</v>
      </c>
      <c r="P28" s="6">
        <v>8</v>
      </c>
      <c r="Q28" s="6">
        <f t="shared" si="2"/>
        <v>7</v>
      </c>
      <c r="R28" s="6">
        <f t="shared" si="3"/>
        <v>17</v>
      </c>
      <c r="S28" s="6">
        <v>150</v>
      </c>
      <c r="T28" s="7">
        <v>24</v>
      </c>
    </row>
    <row r="29" spans="1:20">
      <c r="A29" s="8" t="s">
        <v>108</v>
      </c>
      <c r="B29" s="9" t="s">
        <v>109</v>
      </c>
      <c r="C29" s="10">
        <v>41</v>
      </c>
      <c r="D29" s="10">
        <v>27</v>
      </c>
      <c r="E29" s="10">
        <v>29</v>
      </c>
      <c r="F29" s="10">
        <v>27</v>
      </c>
      <c r="G29" s="10">
        <v>28</v>
      </c>
      <c r="H29" s="10">
        <v>27</v>
      </c>
      <c r="I29" s="10">
        <v>97</v>
      </c>
      <c r="J29" s="10">
        <v>82</v>
      </c>
      <c r="K29" s="10">
        <v>6</v>
      </c>
      <c r="L29" s="10">
        <v>8</v>
      </c>
      <c r="M29" s="10">
        <v>4</v>
      </c>
      <c r="N29" s="10">
        <v>10</v>
      </c>
      <c r="O29" s="10">
        <v>8</v>
      </c>
      <c r="P29" s="10">
        <v>3</v>
      </c>
      <c r="Q29" s="10">
        <f t="shared" si="2"/>
        <v>18</v>
      </c>
      <c r="R29" s="10">
        <f t="shared" si="3"/>
        <v>21</v>
      </c>
      <c r="S29" s="10">
        <v>179</v>
      </c>
      <c r="T29" s="11">
        <v>39</v>
      </c>
    </row>
    <row r="30" spans="1:20">
      <c r="A30" s="4" t="s">
        <v>112</v>
      </c>
      <c r="B30" s="5" t="s">
        <v>113</v>
      </c>
      <c r="C30" s="6">
        <v>128</v>
      </c>
      <c r="D30" s="6">
        <v>128</v>
      </c>
      <c r="E30" s="6">
        <v>144</v>
      </c>
      <c r="F30" s="6">
        <v>128</v>
      </c>
      <c r="G30" s="6">
        <v>127</v>
      </c>
      <c r="H30" s="6">
        <v>138</v>
      </c>
      <c r="I30" s="6">
        <v>400</v>
      </c>
      <c r="J30" s="6">
        <v>393</v>
      </c>
      <c r="K30" s="6">
        <v>29</v>
      </c>
      <c r="L30" s="6">
        <v>23</v>
      </c>
      <c r="M30" s="6">
        <v>31</v>
      </c>
      <c r="N30" s="6">
        <v>21</v>
      </c>
      <c r="O30" s="6">
        <v>23</v>
      </c>
      <c r="P30" s="6">
        <v>23</v>
      </c>
      <c r="Q30" s="6">
        <f t="shared" si="2"/>
        <v>83</v>
      </c>
      <c r="R30" s="6">
        <f t="shared" si="3"/>
        <v>67</v>
      </c>
      <c r="S30" s="6">
        <v>793</v>
      </c>
      <c r="T30" s="7">
        <v>150</v>
      </c>
    </row>
    <row r="31" spans="1:20">
      <c r="A31" s="8" t="s">
        <v>115</v>
      </c>
      <c r="B31" s="9" t="s">
        <v>116</v>
      </c>
      <c r="C31" s="10">
        <v>56</v>
      </c>
      <c r="D31" s="10">
        <v>64</v>
      </c>
      <c r="E31" s="10">
        <v>60</v>
      </c>
      <c r="F31" s="10">
        <v>51</v>
      </c>
      <c r="G31" s="10">
        <v>73</v>
      </c>
      <c r="H31" s="10">
        <v>78</v>
      </c>
      <c r="I31" s="10">
        <v>180</v>
      </c>
      <c r="J31" s="10">
        <v>202</v>
      </c>
      <c r="K31" s="10">
        <v>3</v>
      </c>
      <c r="L31" s="10">
        <v>14</v>
      </c>
      <c r="M31" s="10">
        <v>9</v>
      </c>
      <c r="N31" s="10">
        <v>10</v>
      </c>
      <c r="O31" s="10">
        <v>11</v>
      </c>
      <c r="P31" s="10">
        <v>11</v>
      </c>
      <c r="Q31" s="10">
        <f t="shared" si="2"/>
        <v>26</v>
      </c>
      <c r="R31" s="10">
        <f t="shared" si="3"/>
        <v>32</v>
      </c>
      <c r="S31" s="10">
        <v>382</v>
      </c>
      <c r="T31" s="11">
        <v>58</v>
      </c>
    </row>
    <row r="32" spans="1:20">
      <c r="A32" s="4" t="s">
        <v>117</v>
      </c>
      <c r="B32" s="5" t="s">
        <v>118</v>
      </c>
      <c r="C32" s="6">
        <v>145</v>
      </c>
      <c r="D32" s="6">
        <v>154</v>
      </c>
      <c r="E32" s="6">
        <v>160</v>
      </c>
      <c r="F32" s="6">
        <v>110</v>
      </c>
      <c r="G32" s="6">
        <v>112</v>
      </c>
      <c r="H32" s="6">
        <v>125</v>
      </c>
      <c r="I32" s="6">
        <v>459</v>
      </c>
      <c r="J32" s="6">
        <v>347</v>
      </c>
      <c r="K32" s="6">
        <v>42</v>
      </c>
      <c r="L32" s="6">
        <v>51</v>
      </c>
      <c r="M32" s="6">
        <v>46</v>
      </c>
      <c r="N32" s="6">
        <v>34</v>
      </c>
      <c r="O32" s="6">
        <v>36</v>
      </c>
      <c r="P32" s="6">
        <v>44</v>
      </c>
      <c r="Q32" s="6">
        <f t="shared" si="2"/>
        <v>139</v>
      </c>
      <c r="R32" s="6">
        <f t="shared" si="3"/>
        <v>114</v>
      </c>
      <c r="S32" s="6">
        <v>806</v>
      </c>
      <c r="T32" s="7">
        <v>253</v>
      </c>
    </row>
    <row r="33" spans="1:20">
      <c r="A33" s="8" t="s">
        <v>120</v>
      </c>
      <c r="B33" s="9" t="s">
        <v>121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f t="shared" si="2"/>
        <v>0</v>
      </c>
      <c r="R33" s="10">
        <f t="shared" si="3"/>
        <v>0</v>
      </c>
      <c r="S33" s="10">
        <v>0</v>
      </c>
      <c r="T33" s="11">
        <v>0</v>
      </c>
    </row>
    <row r="34" spans="1:20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>
        <f>SUM(S2:S33)</f>
        <v>11310</v>
      </c>
      <c r="T34" s="14">
        <f>SUM(T2:T33)</f>
        <v>1932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六年</vt:lpstr>
      <vt:lpstr>15年</vt:lpstr>
      <vt:lpstr>16年</vt:lpstr>
      <vt:lpstr>17年</vt:lpstr>
      <vt:lpstr>23年</vt:lpstr>
      <vt:lpstr>24年</vt:lpstr>
      <vt:lpstr>25年</vt:lpstr>
      <vt:lpstr>18年前</vt:lpstr>
      <vt:lpstr>18年后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WPS_1685363890</cp:lastModifiedBy>
  <dcterms:created xsi:type="dcterms:W3CDTF">2026-10-19T13:00:00Z</dcterms:created>
  <dcterms:modified xsi:type="dcterms:W3CDTF">2026-10-27T01:04:00Z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38B0776879C244D284A355659A335981_13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